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works\保管書類\"/>
    </mc:Choice>
  </mc:AlternateContent>
  <xr:revisionPtr revIDLastSave="0" documentId="13_ncr:1_{D1933686-785F-4609-AA3C-2EF5AEF7661A}" xr6:coauthVersionLast="47" xr6:coauthVersionMax="47" xr10:uidLastSave="{00000000-0000-0000-0000-000000000000}"/>
  <bookViews>
    <workbookView xWindow="90" yWindow="180" windowWidth="13995" windowHeight="14790" tabRatio="579" firstSheet="1" activeTab="1" xr2:uid="{00000000-000D-0000-FFFF-FFFF00000000}"/>
  </bookViews>
  <sheets>
    <sheet name="11月平出(HH)" sheetId="9" r:id="rId1"/>
    <sheet name="リスト" sheetId="3" r:id="rId2"/>
    <sheet name="keyword" sheetId="12" r:id="rId3"/>
    <sheet name="取引先" sheetId="5" r:id="rId4"/>
    <sheet name="使い方" sheetId="11" r:id="rId5"/>
  </sheets>
  <definedNames>
    <definedName name="_xlnm._FilterDatabase" localSheetId="0" hidden="1">'11月平出(HH)'!$A$1:$U$139</definedName>
    <definedName name="_xlnm._FilterDatabase" localSheetId="1" hidden="1">リスト!$A$1:$D$257</definedName>
    <definedName name="_xlnm._FilterDatabase" localSheetId="3" hidden="1">取引先!$B$1:$AL$85</definedName>
    <definedName name="_xlnm.Print_Area" localSheetId="0">'11月平出(HH)'!$A$1:$N$49</definedName>
    <definedName name="_xlnm.Print_Titles" localSheetId="0">'11月平出(HH)'!$1:$1</definedName>
    <definedName name="外部table">[0]!店舗名</definedName>
    <definedName name="取引先">取引先!$B$2:$B$87</definedName>
    <definedName name="取引先コード">取引先!$A$2:$A$87</definedName>
    <definedName name="店舗名">リスト!$A$2:$A$261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4" i="3" l="1"/>
  <c r="G144" i="3"/>
  <c r="G251" i="3" l="1"/>
  <c r="D251" i="3"/>
  <c r="G250" i="3"/>
  <c r="D250" i="3"/>
  <c r="G234" i="3"/>
  <c r="D234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2" i="3"/>
  <c r="G253" i="3"/>
  <c r="G254" i="3"/>
  <c r="G255" i="3"/>
  <c r="G256" i="3"/>
  <c r="G257" i="3"/>
  <c r="G2" i="3"/>
  <c r="D248" i="3"/>
  <c r="D129" i="3"/>
  <c r="D240" i="3"/>
  <c r="D243" i="3"/>
  <c r="D246" i="3"/>
  <c r="D252" i="3"/>
  <c r="D134" i="3"/>
  <c r="D135" i="3"/>
  <c r="D137" i="3"/>
  <c r="D138" i="3"/>
  <c r="D141" i="3"/>
  <c r="D146" i="3"/>
  <c r="D149" i="3"/>
  <c r="D151" i="3"/>
  <c r="D154" i="3"/>
  <c r="D158" i="3"/>
  <c r="D164" i="3"/>
  <c r="D167" i="3"/>
  <c r="D169" i="3"/>
  <c r="D170" i="3"/>
  <c r="D172" i="3"/>
  <c r="D173" i="3"/>
  <c r="D176" i="3"/>
  <c r="D182" i="3"/>
  <c r="D185" i="3"/>
  <c r="D187" i="3"/>
  <c r="D190" i="3"/>
  <c r="D193" i="3"/>
  <c r="D194" i="3"/>
  <c r="D199" i="3"/>
  <c r="D200" i="3"/>
  <c r="D203" i="3"/>
  <c r="D205" i="3"/>
  <c r="D206" i="3"/>
  <c r="D208" i="3"/>
  <c r="D209" i="3"/>
  <c r="D212" i="3"/>
  <c r="D218" i="3"/>
  <c r="D219" i="3"/>
  <c r="D221" i="3"/>
  <c r="D223" i="3"/>
  <c r="D226" i="3"/>
  <c r="D229" i="3"/>
  <c r="D230" i="3"/>
  <c r="D236" i="3"/>
  <c r="D237" i="3"/>
  <c r="D155" i="3"/>
  <c r="D161" i="3"/>
  <c r="D179" i="3"/>
  <c r="D191" i="3"/>
  <c r="D197" i="3"/>
  <c r="D215" i="3"/>
  <c r="D227" i="3"/>
  <c r="D233" i="3"/>
  <c r="D79" i="3"/>
  <c r="D80" i="3"/>
  <c r="D81" i="3"/>
  <c r="D82" i="3"/>
  <c r="D83" i="3"/>
  <c r="D85" i="3"/>
  <c r="D86" i="3"/>
  <c r="D87" i="3"/>
  <c r="D88" i="3"/>
  <c r="D90" i="3"/>
  <c r="D91" i="3"/>
  <c r="D92" i="3"/>
  <c r="D93" i="3"/>
  <c r="D94" i="3"/>
  <c r="D95" i="3"/>
  <c r="D96" i="3"/>
  <c r="D97" i="3"/>
  <c r="D99" i="3"/>
  <c r="D100" i="3"/>
  <c r="D102" i="3"/>
  <c r="D103" i="3"/>
  <c r="D104" i="3"/>
  <c r="D105" i="3"/>
  <c r="D106" i="3"/>
  <c r="D108" i="3"/>
  <c r="D109" i="3"/>
  <c r="D110" i="3"/>
  <c r="D111" i="3"/>
  <c r="D112" i="3"/>
  <c r="D114" i="3"/>
  <c r="D115" i="3"/>
  <c r="D116" i="3"/>
  <c r="D117" i="3"/>
  <c r="D118" i="3"/>
  <c r="D119" i="3"/>
  <c r="D121" i="3"/>
  <c r="D122" i="3"/>
  <c r="D123" i="3"/>
  <c r="D124" i="3"/>
  <c r="D125" i="3"/>
  <c r="D126" i="3"/>
  <c r="D127" i="3"/>
  <c r="D128" i="3"/>
  <c r="D131" i="3"/>
  <c r="D78" i="3"/>
  <c r="D26" i="3"/>
  <c r="D4" i="3"/>
  <c r="D257" i="3"/>
  <c r="D256" i="3"/>
  <c r="D255" i="3"/>
  <c r="D254" i="3"/>
  <c r="D253" i="3"/>
  <c r="D249" i="3"/>
  <c r="D247" i="3"/>
  <c r="D245" i="3"/>
  <c r="D244" i="3"/>
  <c r="D242" i="3"/>
  <c r="D241" i="3"/>
  <c r="D239" i="3"/>
  <c r="D238" i="3"/>
  <c r="D235" i="3"/>
  <c r="D232" i="3"/>
  <c r="D231" i="3"/>
  <c r="D228" i="3"/>
  <c r="D225" i="3"/>
  <c r="D224" i="3"/>
  <c r="D222" i="3"/>
  <c r="D220" i="3"/>
  <c r="D217" i="3"/>
  <c r="D216" i="3"/>
  <c r="D214" i="3"/>
  <c r="D213" i="3"/>
  <c r="D211" i="3"/>
  <c r="D210" i="3"/>
  <c r="D207" i="3"/>
  <c r="D204" i="3"/>
  <c r="D202" i="3"/>
  <c r="D201" i="3"/>
  <c r="D198" i="3"/>
  <c r="D196" i="3"/>
  <c r="D195" i="3"/>
  <c r="D192" i="3"/>
  <c r="D189" i="3"/>
  <c r="D188" i="3"/>
  <c r="D186" i="3"/>
  <c r="D184" i="3"/>
  <c r="D183" i="3"/>
  <c r="D181" i="3"/>
  <c r="D180" i="3"/>
  <c r="D178" i="3"/>
  <c r="D177" i="3"/>
  <c r="D175" i="3"/>
  <c r="D174" i="3"/>
  <c r="D171" i="3"/>
  <c r="D168" i="3"/>
  <c r="D166" i="3"/>
  <c r="D165" i="3"/>
  <c r="D163" i="3"/>
  <c r="D162" i="3"/>
  <c r="D160" i="3"/>
  <c r="D159" i="3"/>
  <c r="D157" i="3"/>
  <c r="D156" i="3"/>
  <c r="D153" i="3"/>
  <c r="D152" i="3"/>
  <c r="D150" i="3"/>
  <c r="D148" i="3"/>
  <c r="D147" i="3"/>
  <c r="D145" i="3"/>
  <c r="D143" i="3"/>
  <c r="D142" i="3"/>
  <c r="D140" i="3"/>
  <c r="D139" i="3"/>
  <c r="D136" i="3"/>
  <c r="D133" i="3"/>
  <c r="D132" i="3"/>
  <c r="D130" i="3"/>
  <c r="D120" i="3"/>
  <c r="D113" i="3"/>
  <c r="D107" i="3"/>
  <c r="D101" i="3"/>
  <c r="D98" i="3"/>
  <c r="D89" i="3"/>
  <c r="D84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3" i="3"/>
  <c r="D2" i="3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A91" authorId="0" shapeId="0" xr:uid="{0C29C1E9-3AD8-4474-B3D9-53C136138B44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やなせ</t>
        </r>
      </text>
    </comment>
    <comment ref="A142" authorId="0" shapeId="0" xr:uid="{5735809F-4206-4930-BFC4-44037113CBC7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れいさわだいがく</t>
        </r>
      </text>
    </comment>
    <comment ref="A191" authorId="0" shapeId="0" xr:uid="{076D2069-8B58-40E5-9946-CE21A37D2D5C}">
      <text>
        <r>
          <rPr>
            <b/>
            <sz val="9"/>
            <color indexed="81"/>
            <rFont val="MS P ゴシック"/>
            <family val="3"/>
            <charset val="128"/>
          </rPr>
          <t>owner:そんのうちょう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239" authorId="0" shapeId="0" xr:uid="{EE12C269-C571-48FE-ADDE-A3EF67BB475C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こてやま</t>
        </r>
      </text>
    </comment>
  </commentList>
</comments>
</file>

<file path=xl/sharedStrings.xml><?xml version="1.0" encoding="utf-8"?>
<sst xmlns="http://schemas.openxmlformats.org/spreadsheetml/2006/main" count="2907" uniqueCount="861">
  <si>
    <t>管理番号</t>
  </si>
  <si>
    <t>発生日</t>
  </si>
  <si>
    <t>決済期日</t>
  </si>
  <si>
    <t>取引先</t>
  </si>
  <si>
    <t>取引先コード</t>
  </si>
  <si>
    <t>勘定科目</t>
  </si>
  <si>
    <t>税区分</t>
  </si>
  <si>
    <t>税計算区分</t>
  </si>
  <si>
    <t>税額</t>
  </si>
  <si>
    <t>備考</t>
  </si>
  <si>
    <t>品目</t>
  </si>
  <si>
    <t>メモタグ（複数指定可、カンマ区切り）</t>
  </si>
  <si>
    <t>決済日</t>
  </si>
  <si>
    <t>決済口座</t>
  </si>
  <si>
    <t>決済金額</t>
  </si>
  <si>
    <t>セグメント1</t>
  </si>
  <si>
    <t>セグメント2</t>
  </si>
  <si>
    <t>セグメント3</t>
  </si>
  <si>
    <t>対象外</t>
    <rPh sb="0" eb="3">
      <t>タイショウガイ</t>
    </rPh>
    <phoneticPr fontId="3"/>
  </si>
  <si>
    <t>取引先コード</t>
    <rPh sb="0" eb="3">
      <t>トリヒキサキ</t>
    </rPh>
    <phoneticPr fontId="3"/>
  </si>
  <si>
    <t>ショートカット1</t>
  </si>
  <si>
    <t>ショートカット2</t>
  </si>
  <si>
    <t>正式名称（帳票出力時に使用される名称）</t>
  </si>
  <si>
    <t>カナ名称</t>
  </si>
  <si>
    <t>敬称</t>
  </si>
  <si>
    <t>事業所種別</t>
  </si>
  <si>
    <t>地域</t>
  </si>
  <si>
    <t>郵便番号</t>
  </si>
  <si>
    <t>都道府県</t>
  </si>
  <si>
    <t>市区町村・番地</t>
  </si>
  <si>
    <t>建物名・部屋番号など</t>
  </si>
  <si>
    <t>電話番号</t>
  </si>
  <si>
    <t>営業担当者名</t>
  </si>
  <si>
    <t>営業担当者メールアドレス</t>
  </si>
  <si>
    <t>請求書送付方法</t>
  </si>
  <si>
    <t>入力候補</t>
  </si>
  <si>
    <t>銀行名</t>
  </si>
  <si>
    <t>銀行名（カナ）</t>
  </si>
  <si>
    <t>銀行番号</t>
  </si>
  <si>
    <t>支店名</t>
  </si>
  <si>
    <t>支店名（カナ）</t>
  </si>
  <si>
    <t>支店番号</t>
  </si>
  <si>
    <t>口座種別</t>
  </si>
  <si>
    <t>口座番号</t>
  </si>
  <si>
    <t>受取人名</t>
  </si>
  <si>
    <t>受取人名（カナ）</t>
  </si>
  <si>
    <t>締め日(支払期日設定)</t>
  </si>
  <si>
    <t>支払月(支払期日設定)</t>
  </si>
  <si>
    <t>支払日(支払期日設定)</t>
  </si>
  <si>
    <t>締め日(入金期日設定)</t>
  </si>
  <si>
    <t>入金月(入金期日設定)</t>
  </si>
  <si>
    <t>入金日(入金期日設定)</t>
  </si>
  <si>
    <t>手数料負担</t>
  </si>
  <si>
    <t>振込元口座</t>
  </si>
  <si>
    <t>適格請求書発行事業者（該当する/該当しない）</t>
  </si>
  <si>
    <t>適格請求書発行事業者の登録番号</t>
  </si>
  <si>
    <t>(空白)</t>
  </si>
  <si>
    <t>国内</t>
  </si>
  <si>
    <t>使用する</t>
  </si>
  <si>
    <t>当方</t>
  </si>
  <si>
    <t>該当しない</t>
  </si>
  <si>
    <t>LC-0002</t>
  </si>
  <si>
    <t>LC-0003</t>
  </si>
  <si>
    <t>LC-0004</t>
  </si>
  <si>
    <t>LC-0005</t>
  </si>
  <si>
    <t>LC-0006</t>
  </si>
  <si>
    <t>LC-0007</t>
  </si>
  <si>
    <t>LC-0008</t>
  </si>
  <si>
    <t>LC-0009</t>
  </si>
  <si>
    <t>LC-0010</t>
  </si>
  <si>
    <t>LC-0011</t>
  </si>
  <si>
    <t>LC-0012</t>
  </si>
  <si>
    <t>LC-0013</t>
  </si>
  <si>
    <t>LC-0014</t>
  </si>
  <si>
    <t>LC-0015</t>
  </si>
  <si>
    <t>LC-0016</t>
  </si>
  <si>
    <t>LC-0017</t>
  </si>
  <si>
    <t>LC-0018</t>
  </si>
  <si>
    <t>LC-0019</t>
  </si>
  <si>
    <t>㈲コパン</t>
  </si>
  <si>
    <t>LC-0020</t>
  </si>
  <si>
    <t>LC-0021</t>
  </si>
  <si>
    <t>LC-0022</t>
  </si>
  <si>
    <t>LC-0023</t>
  </si>
  <si>
    <t>LC-0024</t>
  </si>
  <si>
    <t>LC-0025</t>
  </si>
  <si>
    <t>三井住友銀行</t>
  </si>
  <si>
    <t>しらゆり支店</t>
  </si>
  <si>
    <t>普通</t>
  </si>
  <si>
    <t>ｳｴﾙﾈﾂﾄ(ｶ</t>
  </si>
  <si>
    <t>㈱マネーフォワード</t>
  </si>
  <si>
    <t>LC-0026</t>
  </si>
  <si>
    <t>みずほ銀行</t>
  </si>
  <si>
    <t>恵比寿支店</t>
  </si>
  <si>
    <t>ｶ)ﾏﾈ-ﾌｵﾜ-ﾄﾞ</t>
  </si>
  <si>
    <t>LC-0027</t>
  </si>
  <si>
    <t>LC-0028</t>
  </si>
  <si>
    <t>LC-0029</t>
  </si>
  <si>
    <t>足利銀行</t>
  </si>
  <si>
    <t>LC-0030</t>
  </si>
  <si>
    <t>㈱リンクプラス</t>
  </si>
  <si>
    <t>LC-0031</t>
  </si>
  <si>
    <t>城南信用金庫</t>
  </si>
  <si>
    <t>青山支店</t>
  </si>
  <si>
    <t>ｶ)ﾘﾝｸﾌﾟﾗｽ</t>
  </si>
  <si>
    <t>LC-0032</t>
  </si>
  <si>
    <t>大宮支店</t>
  </si>
  <si>
    <t>㈱帝王経営コンサルタンツ</t>
  </si>
  <si>
    <t>LC-0033</t>
  </si>
  <si>
    <t>三菱ＵＦＪ銀行</t>
  </si>
  <si>
    <t>上野支店</t>
  </si>
  <si>
    <t>ｶ)ﾃｲｵｳｹｲｴｲｺﾝｻﾙﾀﾝﾂ</t>
  </si>
  <si>
    <t>LC-0034</t>
  </si>
  <si>
    <t>LC-0035</t>
  </si>
  <si>
    <t>LC-0036</t>
  </si>
  <si>
    <t>LC-0037</t>
  </si>
  <si>
    <t>LC-0038</t>
  </si>
  <si>
    <t>楽天銀行</t>
  </si>
  <si>
    <t>LC-0039</t>
  </si>
  <si>
    <t>LC-0040</t>
  </si>
  <si>
    <t>LC-0041</t>
  </si>
  <si>
    <t>当座</t>
  </si>
  <si>
    <t>㈱ビジュアル</t>
  </si>
  <si>
    <t>宇都宮北出張所</t>
  </si>
  <si>
    <t>ｶ)ﾋﾞｼﾞﾕｱﾙ</t>
  </si>
  <si>
    <t>㈱クルール・プロジェ</t>
  </si>
  <si>
    <t>江曽島支店</t>
  </si>
  <si>
    <t>ｶ)ｸﾙ-ﾙﾌﾟﾛｼﾞｴ</t>
  </si>
  <si>
    <t>(同)エスアンドワイワーカーズ</t>
  </si>
  <si>
    <t>群馬銀行</t>
  </si>
  <si>
    <t>新町支店</t>
  </si>
  <si>
    <t>ﾄﾞ)ｴｽｱﾝﾄﾞﾜｲﾜ-ｶ-ｽﾞ</t>
  </si>
  <si>
    <t>㈱オリエンタルランド</t>
  </si>
  <si>
    <t>日本橋支店</t>
  </si>
  <si>
    <t>ｶ)ｵﾘｴﾝﾀﾙﾗﾝﾄﾞ</t>
  </si>
  <si>
    <t>㈱メドレー</t>
  </si>
  <si>
    <t>オペラ支店</t>
  </si>
  <si>
    <t>ｶ)ﾒﾄﾞﾚ-</t>
  </si>
  <si>
    <t>ウォータースタンド㈱</t>
  </si>
  <si>
    <t>ｳｵ-ﾀ-ｽﾀﾝﾄﾞ(ｶ</t>
  </si>
  <si>
    <t>㈱メドレー（ジョブメドレー）</t>
  </si>
  <si>
    <t>たんぽぽ支店</t>
  </si>
  <si>
    <t>㈱学研エデュケーショナル</t>
  </si>
  <si>
    <t>なでしこ支店</t>
  </si>
  <si>
    <t>ｶ)ｶﾞﾂｹﾝｴﾃﾞﾕｹ-ｼﾖﾅﾙ</t>
  </si>
  <si>
    <t>㈱プレアデス</t>
  </si>
  <si>
    <t>渋谷中央支店</t>
  </si>
  <si>
    <t>ｶ)ﾌﾟﾚｱﾃﾞｽ</t>
  </si>
  <si>
    <t>ＰａｙＰａｙ銀行</t>
  </si>
  <si>
    <t>サクセス・ベル㈱</t>
  </si>
  <si>
    <t>広島銀行</t>
  </si>
  <si>
    <t>大柿支店</t>
  </si>
  <si>
    <t>ｻｸｾｽ.ﾍﾞﾙ(ｶ</t>
  </si>
  <si>
    <t>㈱リクルート</t>
  </si>
  <si>
    <t>ｶ)ﾘｸﾙｰﾄ</t>
  </si>
  <si>
    <t>すずめ支店</t>
  </si>
  <si>
    <t>ﾜﾁ ﾂﾄﾑ</t>
  </si>
  <si>
    <t>㈱ミライバシ</t>
  </si>
  <si>
    <t>第三営業支店</t>
  </si>
  <si>
    <t>ｶ)ﾐﾗｲﾊﾞｼ</t>
  </si>
  <si>
    <t>取引先</t>
    <rPh sb="0" eb="3">
      <t>トリヒキサキ</t>
    </rPh>
    <phoneticPr fontId="3"/>
  </si>
  <si>
    <t>三井住友銀行</t>
    <phoneticPr fontId="3"/>
  </si>
  <si>
    <t>東日本支店</t>
    <phoneticPr fontId="3"/>
  </si>
  <si>
    <t>足利銀行</t>
    <phoneticPr fontId="3"/>
  </si>
  <si>
    <t>真岡支店</t>
    <phoneticPr fontId="3"/>
  </si>
  <si>
    <t>普通</t>
    <rPh sb="0" eb="2">
      <t>フツウ</t>
    </rPh>
    <phoneticPr fontId="3"/>
  </si>
  <si>
    <t>㈱クルール・プロジェ</t>
    <phoneticPr fontId="3"/>
  </si>
  <si>
    <t>りそな銀行</t>
    <rPh sb="3" eb="5">
      <t>ギンコウ</t>
    </rPh>
    <phoneticPr fontId="3"/>
  </si>
  <si>
    <t>セカンドラボ㈱</t>
    <phoneticPr fontId="3"/>
  </si>
  <si>
    <t>みずほ銀行</t>
    <rPh sb="3" eb="5">
      <t>ギンコウ</t>
    </rPh>
    <phoneticPr fontId="3"/>
  </si>
  <si>
    <t>新宿南口支店</t>
    <rPh sb="0" eb="6">
      <t>シンジュクミナミグチシテン</t>
    </rPh>
    <phoneticPr fontId="3"/>
  </si>
  <si>
    <t>ｾｶﾝﾄﾞﾗﾎﾞ(ｶ</t>
    <phoneticPr fontId="3"/>
  </si>
  <si>
    <t>ウォータースタンド㈱</t>
    <phoneticPr fontId="3"/>
  </si>
  <si>
    <t>みずほ銀行</t>
    <phoneticPr fontId="3"/>
  </si>
  <si>
    <t>平出</t>
    <rPh sb="0" eb="2">
      <t>ヒライデ</t>
    </rPh>
    <phoneticPr fontId="3"/>
  </si>
  <si>
    <t>㈲コパン（㈱カウネット）1767596</t>
    <phoneticPr fontId="3"/>
  </si>
  <si>
    <t>㈲コパン（㈱カウネット）6353088</t>
    <phoneticPr fontId="3"/>
  </si>
  <si>
    <t>㈱ジョイント</t>
    <phoneticPr fontId="3"/>
  </si>
  <si>
    <t>リトミック研究センター埼玉第1支局　石田保代</t>
    <rPh sb="5" eb="7">
      <t>ケンキュウ</t>
    </rPh>
    <rPh sb="11" eb="13">
      <t>サイタマ</t>
    </rPh>
    <rPh sb="13" eb="14">
      <t>ダイ</t>
    </rPh>
    <rPh sb="15" eb="17">
      <t>シキョク</t>
    </rPh>
    <rPh sb="18" eb="20">
      <t>イシダ</t>
    </rPh>
    <rPh sb="20" eb="21">
      <t>ホ</t>
    </rPh>
    <rPh sb="21" eb="22">
      <t>ヨ</t>
    </rPh>
    <phoneticPr fontId="3"/>
  </si>
  <si>
    <t>㈱ガイドポスト</t>
    <phoneticPr fontId="3"/>
  </si>
  <si>
    <t>㈱東武自動車</t>
    <rPh sb="1" eb="3">
      <t>ヒガシタケ</t>
    </rPh>
    <rPh sb="3" eb="6">
      <t>ジドウシャ</t>
    </rPh>
    <phoneticPr fontId="3"/>
  </si>
  <si>
    <t>栗山未来</t>
    <rPh sb="0" eb="2">
      <t>クリヤマ</t>
    </rPh>
    <rPh sb="2" eb="4">
      <t>ミライ</t>
    </rPh>
    <phoneticPr fontId="3"/>
  </si>
  <si>
    <t>㈲光陽サービス</t>
    <rPh sb="1" eb="2">
      <t>ヒカリ</t>
    </rPh>
    <rPh sb="2" eb="3">
      <t>ヨウ</t>
    </rPh>
    <phoneticPr fontId="3"/>
  </si>
  <si>
    <t>LC-0001</t>
    <phoneticPr fontId="3"/>
  </si>
  <si>
    <t>㈱メドレー</t>
    <phoneticPr fontId="3"/>
  </si>
  <si>
    <t>三菱UFJ銀行</t>
    <rPh sb="0" eb="2">
      <t>ミツビシ</t>
    </rPh>
    <rPh sb="5" eb="7">
      <t>ギンコウ</t>
    </rPh>
    <phoneticPr fontId="3"/>
  </si>
  <si>
    <t>くすのき支店</t>
    <phoneticPr fontId="3"/>
  </si>
  <si>
    <t>㈲無限</t>
    <phoneticPr fontId="3"/>
  </si>
  <si>
    <t>朝日信用金庫</t>
    <phoneticPr fontId="3"/>
  </si>
  <si>
    <t>西町支店</t>
    <phoneticPr fontId="3"/>
  </si>
  <si>
    <t>ﾕ)ﾑｹﾞﾝ</t>
    <phoneticPr fontId="3"/>
  </si>
  <si>
    <t>㈱ビースタイルメディア</t>
    <phoneticPr fontId="3"/>
  </si>
  <si>
    <t>第五集中支店</t>
    <phoneticPr fontId="3"/>
  </si>
  <si>
    <t>ｶ)ﾋﾞ-ｽﾀｲﾙﾒﾃﾞｲｱ</t>
    <phoneticPr fontId="3"/>
  </si>
  <si>
    <t>㈱メドレー(ジョブメドレー/一括振込)</t>
    <rPh sb="14" eb="16">
      <t>イッカツ</t>
    </rPh>
    <rPh sb="16" eb="18">
      <t>フリコミ</t>
    </rPh>
    <phoneticPr fontId="3"/>
  </si>
  <si>
    <t>たんぽぽ支店</t>
    <phoneticPr fontId="3"/>
  </si>
  <si>
    <t>ｶ)ﾒﾄﾞﾚ-</t>
    <phoneticPr fontId="3"/>
  </si>
  <si>
    <t>㈱アイ・コーポレーション</t>
    <phoneticPr fontId="3"/>
  </si>
  <si>
    <t>ｶ) ﾈﾂﾄﾌﾟﾛﾃｸｼﾖﾝｽﾞ</t>
    <phoneticPr fontId="3"/>
  </si>
  <si>
    <t>吉村益樹(りそな)</t>
    <phoneticPr fontId="3"/>
  </si>
  <si>
    <t>秋葉原支店</t>
    <phoneticPr fontId="3"/>
  </si>
  <si>
    <t>ﾖｼﾑﾗ ｴｷｼﾞﾕ</t>
    <phoneticPr fontId="3"/>
  </si>
  <si>
    <t>ユニバース㈱</t>
    <phoneticPr fontId="3"/>
  </si>
  <si>
    <t>東邦銀行</t>
    <phoneticPr fontId="3"/>
  </si>
  <si>
    <t>平西支店</t>
    <phoneticPr fontId="3"/>
  </si>
  <si>
    <t>ﾕﾆﾊﾞ-ｽ(ｶ</t>
    <phoneticPr fontId="3"/>
  </si>
  <si>
    <t>総合福祉センター　宇都宮市社会福祉協議会</t>
    <phoneticPr fontId="3"/>
  </si>
  <si>
    <t>宇都宮市役所支店</t>
    <phoneticPr fontId="3"/>
  </si>
  <si>
    <t>ｿｳｺﾞｳﾌｸｼｾﾝﾀ- ｳﾂﾉﾐﾔｼｼﾔｶｲﾌｸｼｷﾖｳｷ</t>
    <phoneticPr fontId="3"/>
  </si>
  <si>
    <t>㈱アルホーム</t>
    <phoneticPr fontId="3"/>
  </si>
  <si>
    <t>ｶ)ｱﾙﾎ-ﾑ</t>
    <phoneticPr fontId="3"/>
  </si>
  <si>
    <t>㈱中広8356310</t>
    <rPh sb="1" eb="2">
      <t>ナカ</t>
    </rPh>
    <phoneticPr fontId="3"/>
  </si>
  <si>
    <t>㈱中広8356310</t>
    <phoneticPr fontId="3"/>
  </si>
  <si>
    <t>ひなぎく支店</t>
    <phoneticPr fontId="3"/>
  </si>
  <si>
    <t>ｶ)ﾁﾕｳｺｳ</t>
    <phoneticPr fontId="3"/>
  </si>
  <si>
    <t>㈱リベルテ</t>
    <phoneticPr fontId="3"/>
  </si>
  <si>
    <t>もみじ銀行</t>
    <phoneticPr fontId="3"/>
  </si>
  <si>
    <t>大州支店</t>
    <phoneticPr fontId="3"/>
  </si>
  <si>
    <t>ｶ)ﾘﾍﾞﾙﾃ</t>
    <phoneticPr fontId="3"/>
  </si>
  <si>
    <t>㈱LITALICO</t>
    <phoneticPr fontId="3"/>
  </si>
  <si>
    <t>佐藤京美</t>
  </si>
  <si>
    <t>栃木支店</t>
    <rPh sb="0" eb="4">
      <t>トチギシテン</t>
    </rPh>
    <phoneticPr fontId="3"/>
  </si>
  <si>
    <t>ｻﾄｳ ｷﾖｳﾐ</t>
    <phoneticPr fontId="3"/>
  </si>
  <si>
    <t>松崎優子</t>
    <rPh sb="0" eb="2">
      <t>マツザキ</t>
    </rPh>
    <rPh sb="2" eb="4">
      <t>ユウコ</t>
    </rPh>
    <phoneticPr fontId="3"/>
  </si>
  <si>
    <t>岩舟支店</t>
    <rPh sb="0" eb="2">
      <t>イワフネ</t>
    </rPh>
    <rPh sb="2" eb="4">
      <t>シテン</t>
    </rPh>
    <phoneticPr fontId="3"/>
  </si>
  <si>
    <t>ﾏﾂｻﾞｷ ﾕｳｺ</t>
    <phoneticPr fontId="3"/>
  </si>
  <si>
    <t>杉山智美</t>
    <rPh sb="0" eb="2">
      <t>スギヤマ</t>
    </rPh>
    <rPh sb="2" eb="4">
      <t>トモミ</t>
    </rPh>
    <phoneticPr fontId="3"/>
  </si>
  <si>
    <t>宇都宮北出張所</t>
    <rPh sb="0" eb="7">
      <t>ウツノミヤキタシュッチョウジョ</t>
    </rPh>
    <phoneticPr fontId="3"/>
  </si>
  <si>
    <t>ｽｷﾞﾔﾏ ﾄﾓﾐ</t>
    <phoneticPr fontId="3"/>
  </si>
  <si>
    <t>埼玉りそな銀行</t>
    <rPh sb="0" eb="2">
      <t>サイタマ</t>
    </rPh>
    <rPh sb="5" eb="7">
      <t>ギンコウ</t>
    </rPh>
    <phoneticPr fontId="3"/>
  </si>
  <si>
    <t>武蔵浦和支店</t>
    <rPh sb="0" eb="6">
      <t>ムサシウラワシテン</t>
    </rPh>
    <phoneticPr fontId="3"/>
  </si>
  <si>
    <t>ARTKITCHIN　上野志帆</t>
    <rPh sb="11" eb="13">
      <t>ウエノ</t>
    </rPh>
    <phoneticPr fontId="3"/>
  </si>
  <si>
    <t>足利銀行</t>
    <rPh sb="0" eb="4">
      <t>アシカガギンコウ</t>
    </rPh>
    <phoneticPr fontId="3"/>
  </si>
  <si>
    <t>南河内支店</t>
    <rPh sb="0" eb="5">
      <t>ミナミカワチシテン</t>
    </rPh>
    <phoneticPr fontId="3"/>
  </si>
  <si>
    <t>ｱｰﾄｷﾂﾁﾝ ｳｴﾉ ｼﾎ</t>
    <phoneticPr fontId="3"/>
  </si>
  <si>
    <t>中もず支店</t>
    <rPh sb="0" eb="1">
      <t>ナカ</t>
    </rPh>
    <rPh sb="3" eb="5">
      <t>シテン</t>
    </rPh>
    <phoneticPr fontId="3"/>
  </si>
  <si>
    <t>ｶ)ｼﾞﾖｲﾝﾄ</t>
    <phoneticPr fontId="3"/>
  </si>
  <si>
    <t>郡山支店</t>
    <rPh sb="0" eb="4">
      <t>コオリヤマシテン</t>
    </rPh>
    <phoneticPr fontId="3"/>
  </si>
  <si>
    <t>ｶ)ｶﾞｲﾄﾞﾎﾟｽﾄ</t>
    <phoneticPr fontId="3"/>
  </si>
  <si>
    <t>埼玉りそな銀行</t>
    <rPh sb="0" eb="2">
      <t>サイタマ</t>
    </rPh>
    <rPh sb="5" eb="7">
      <t>ギンコウ</t>
    </rPh>
    <phoneticPr fontId="3"/>
  </si>
  <si>
    <t>幸手支店</t>
    <rPh sb="0" eb="4">
      <t>サッテシテン</t>
    </rPh>
    <phoneticPr fontId="3"/>
  </si>
  <si>
    <t>普通</t>
    <rPh sb="0" eb="2">
      <t>フツウ</t>
    </rPh>
    <phoneticPr fontId="3"/>
  </si>
  <si>
    <t>ｶ)ﾄｳﾌﾞｼﾞﾄﾞｳｼﾔ</t>
    <phoneticPr fontId="3"/>
  </si>
  <si>
    <t>リステージ㈱</t>
  </si>
  <si>
    <t>大宮支店</t>
    <rPh sb="0" eb="4">
      <t>オオミヤシテン</t>
    </rPh>
    <phoneticPr fontId="3"/>
  </si>
  <si>
    <t>ﾘｽﾃｰｼﾞ(ｶ</t>
    <phoneticPr fontId="3"/>
  </si>
  <si>
    <t>栃木銀行</t>
    <rPh sb="0" eb="4">
      <t>トチギギンコウ</t>
    </rPh>
    <phoneticPr fontId="3"/>
  </si>
  <si>
    <t>栃木支店</t>
    <rPh sb="0" eb="4">
      <t>トチギシテン</t>
    </rPh>
    <phoneticPr fontId="3"/>
  </si>
  <si>
    <t>ｸﾘﾔﾏ ﾐｸ</t>
    <phoneticPr fontId="3"/>
  </si>
  <si>
    <t>東邦銀行</t>
    <rPh sb="0" eb="4">
      <t>トウホウギンコウ</t>
    </rPh>
    <phoneticPr fontId="3"/>
  </si>
  <si>
    <t>小名浜支店</t>
    <rPh sb="0" eb="5">
      <t>オナハマシテン</t>
    </rPh>
    <phoneticPr fontId="3"/>
  </si>
  <si>
    <t>ﾕ)ｺｳﾖｳｻｰﾋﾞｽ</t>
    <phoneticPr fontId="3"/>
  </si>
  <si>
    <t>ARTKITCHEN　上野志帆</t>
    <rPh sb="11" eb="13">
      <t>ウエノ</t>
    </rPh>
    <phoneticPr fontId="3"/>
  </si>
  <si>
    <t>ﾘﾄﾐﾂｸｹﾝｷﾕｳｾﾝﾀ- ｻｲﾀﾏﾀﾞｲ1ｼｷﾖｸ</t>
    <phoneticPr fontId="3"/>
  </si>
  <si>
    <t>㈲T.T.ファクトリー</t>
  </si>
  <si>
    <t>トーテックサービス㈱</t>
    <phoneticPr fontId="3"/>
  </si>
  <si>
    <t>パルこどもクリニック</t>
    <phoneticPr fontId="3"/>
  </si>
  <si>
    <t>梅山亜矢子</t>
  </si>
  <si>
    <t>LC-0042</t>
  </si>
  <si>
    <t>LC-0043</t>
  </si>
  <si>
    <t>LC-0044</t>
  </si>
  <si>
    <t>ｲ)ﾕｳﾘﾝｶｲ</t>
  </si>
  <si>
    <t>伊勢崎北支店</t>
  </si>
  <si>
    <t>ﾄ-ﾃﾂｸｻ-ﾋﾞｽ(ｶ</t>
  </si>
  <si>
    <t>小山支店</t>
  </si>
  <si>
    <t>常陽銀行</t>
  </si>
  <si>
    <t>ゆうちょ銀行</t>
  </si>
  <si>
    <t>〇七八</t>
  </si>
  <si>
    <t>ｳﾒﾔﾏ ｱﾔｺ</t>
  </si>
  <si>
    <t>LC-0045</t>
  </si>
  <si>
    <t>ディップ㈱</t>
    <phoneticPr fontId="3"/>
  </si>
  <si>
    <t>LC-0048</t>
  </si>
  <si>
    <t>クラリオンライフサイクルソリューソンズ㈱</t>
    <phoneticPr fontId="3"/>
  </si>
  <si>
    <t>(空白)</t>
    <phoneticPr fontId="3"/>
  </si>
  <si>
    <t>国内</t>
    <phoneticPr fontId="3"/>
  </si>
  <si>
    <t>三井住友銀行</t>
    <rPh sb="0" eb="2">
      <t>ミツイ</t>
    </rPh>
    <rPh sb="2" eb="6">
      <t>スミトモギンコウ</t>
    </rPh>
    <phoneticPr fontId="3"/>
  </si>
  <si>
    <t>アオイ支店</t>
    <phoneticPr fontId="3"/>
  </si>
  <si>
    <t>ｸﾗﾘｵﾝﾗｲﾌｻｲｸﾙｿﾘﾕ-ｼﾖﾝｽﾞ (ｶ</t>
    <phoneticPr fontId="3"/>
  </si>
  <si>
    <t>当方</t>
    <phoneticPr fontId="3"/>
  </si>
  <si>
    <t>使用する</t>
    <phoneticPr fontId="3"/>
  </si>
  <si>
    <t>該当しない</t>
    <phoneticPr fontId="3"/>
  </si>
  <si>
    <t>LC-0049</t>
  </si>
  <si>
    <t>㈱SmartHR</t>
  </si>
  <si>
    <t>ブナ支店</t>
  </si>
  <si>
    <t>ｶ)ｽﾏ-ﾄｴｲﾁｱ-ﾙ</t>
  </si>
  <si>
    <t>LC-0050</t>
  </si>
  <si>
    <t>㈱日宣メディックス</t>
    <phoneticPr fontId="3"/>
  </si>
  <si>
    <t>水戸駅南支店</t>
  </si>
  <si>
    <t>ｶ)ﾆﾂｾﾝﾒﾃﾞｲﾂｸｽ</t>
  </si>
  <si>
    <t>LC-0051</t>
  </si>
  <si>
    <t>㈱栃木リビング新聞社</t>
  </si>
  <si>
    <t>本店営業部</t>
  </si>
  <si>
    <t>ｶ)ﾄﾁｷﾞﾘﾋﾞﾝｸﾞｼﾝﾌﾞﾝｼﾔ</t>
  </si>
  <si>
    <t>LC-0052</t>
  </si>
  <si>
    <t>㈱中広 8353232</t>
    <rPh sb="1" eb="3">
      <t>チュウコウ</t>
    </rPh>
    <phoneticPr fontId="3"/>
  </si>
  <si>
    <t>LC-0053</t>
  </si>
  <si>
    <t>日本セーフティー㈱</t>
    <rPh sb="0" eb="2">
      <t>ニホン</t>
    </rPh>
    <phoneticPr fontId="3"/>
  </si>
  <si>
    <t>あさぎり支店</t>
  </si>
  <si>
    <t>ﾆﾎﾝｾ-ﾌﾃｲ-(ｶ</t>
  </si>
  <si>
    <t>LC-0054</t>
  </si>
  <si>
    <t>㈱エス・エム・エス</t>
    <phoneticPr fontId="3"/>
  </si>
  <si>
    <t>ｶ) ｴｽｴﾑｴｽ</t>
  </si>
  <si>
    <t>LC-0046</t>
  </si>
  <si>
    <t>㈲T.T.ファクトリー</t>
    <phoneticPr fontId="3"/>
  </si>
  <si>
    <t>首都圏支店</t>
    <rPh sb="0" eb="3">
      <t>シュトケン</t>
    </rPh>
    <phoneticPr fontId="3"/>
  </si>
  <si>
    <t>ﾃﾞｨｯﾌﾟ(ｶ</t>
    <phoneticPr fontId="3"/>
  </si>
  <si>
    <t>栃木銀行</t>
  </si>
  <si>
    <t>宇都宮北支店</t>
  </si>
  <si>
    <t>ﾕ)ﾃｲ-ﾃｲ-ﾌｱｸﾄﾘ-</t>
  </si>
  <si>
    <t>共通部門</t>
    <rPh sb="0" eb="4">
      <t>キョウツウブモン</t>
    </rPh>
    <phoneticPr fontId="3"/>
  </si>
  <si>
    <t>032KM下高間木</t>
  </si>
  <si>
    <t>037KM鶴田プラス</t>
  </si>
  <si>
    <t>096KP七北田</t>
  </si>
  <si>
    <t>001GH宇都宮</t>
    <rPh sb="5" eb="8">
      <t>ウツノミヤ</t>
    </rPh>
    <phoneticPr fontId="2"/>
  </si>
  <si>
    <t>002GH水戸</t>
    <rPh sb="5" eb="7">
      <t>ミト</t>
    </rPh>
    <phoneticPr fontId="2"/>
  </si>
  <si>
    <t>004GH福島</t>
    <rPh sb="5" eb="7">
      <t>フクシマ</t>
    </rPh>
    <phoneticPr fontId="2"/>
  </si>
  <si>
    <t>006GH新松戸</t>
    <rPh sb="5" eb="8">
      <t>シンマツド</t>
    </rPh>
    <phoneticPr fontId="2"/>
  </si>
  <si>
    <t>㈱アフレル</t>
    <phoneticPr fontId="3"/>
  </si>
  <si>
    <t>LC-0047</t>
  </si>
  <si>
    <t>福井銀行</t>
  </si>
  <si>
    <t>福井中央支店</t>
  </si>
  <si>
    <t>ｶ)ｱﾌﾚﾙ</t>
  </si>
  <si>
    <t>LC-0055</t>
  </si>
  <si>
    <t>㈲アーバン・アド</t>
    <phoneticPr fontId="3"/>
  </si>
  <si>
    <t>峰町支店</t>
    <phoneticPr fontId="3"/>
  </si>
  <si>
    <t>普通</t>
    <phoneticPr fontId="3"/>
  </si>
  <si>
    <t>ﾕ)ｱ-ﾊﾞﾝｱﾄﾞ</t>
  </si>
  <si>
    <t>LC-0056</t>
  </si>
  <si>
    <t>㈱あけぼの印刷社</t>
    <phoneticPr fontId="3"/>
  </si>
  <si>
    <t>常陽銀行</t>
    <phoneticPr fontId="3"/>
  </si>
  <si>
    <t>本店営業部</t>
    <phoneticPr fontId="3"/>
  </si>
  <si>
    <t>当座</t>
    <rPh sb="0" eb="2">
      <t>トウザ</t>
    </rPh>
    <phoneticPr fontId="3"/>
  </si>
  <si>
    <t>ｶ)ｱｹﾎﾞﾉｲﾝｻﾂｼﾔ</t>
    <phoneticPr fontId="3"/>
  </si>
  <si>
    <t>LC-0057</t>
  </si>
  <si>
    <t>㈱リック</t>
    <phoneticPr fontId="3"/>
  </si>
  <si>
    <t>富士宮信用金庫</t>
    <phoneticPr fontId="3"/>
  </si>
  <si>
    <t>吉原支店</t>
    <phoneticPr fontId="3"/>
  </si>
  <si>
    <t>ｶ)ﾘﾂｸ</t>
  </si>
  <si>
    <t>LC-0058</t>
  </si>
  <si>
    <t>ちばてん企画㈱</t>
    <rPh sb="4" eb="6">
      <t>キカク</t>
    </rPh>
    <phoneticPr fontId="3"/>
  </si>
  <si>
    <t>住信ＳＢＩネット銀行</t>
    <phoneticPr fontId="3"/>
  </si>
  <si>
    <t>法人第一支店</t>
    <phoneticPr fontId="3"/>
  </si>
  <si>
    <t>ﾁﾊﾞﾃﾝｷｶｸ(ｶ</t>
  </si>
  <si>
    <t>LC-0059</t>
  </si>
  <si>
    <t>(同)住まいるサポート</t>
    <phoneticPr fontId="3"/>
  </si>
  <si>
    <t>佐野信用金庫</t>
    <rPh sb="0" eb="6">
      <t>サノシンヨウキンコ</t>
    </rPh>
    <phoneticPr fontId="3"/>
  </si>
  <si>
    <t>石塚支店</t>
    <rPh sb="0" eb="2">
      <t>イシヅカ</t>
    </rPh>
    <rPh sb="2" eb="4">
      <t>シテン</t>
    </rPh>
    <phoneticPr fontId="3"/>
  </si>
  <si>
    <t>ﾄﾞ)ｽﾏｲﾙｻﾎﾟ-ﾄ</t>
    <phoneticPr fontId="3"/>
  </si>
  <si>
    <t>LC-0060</t>
  </si>
  <si>
    <t>㈱常創</t>
    <phoneticPr fontId="3"/>
  </si>
  <si>
    <t>吉田支店</t>
    <phoneticPr fontId="3"/>
  </si>
  <si>
    <t>ｶ)ｼﾞﾖｳｿｳ</t>
  </si>
  <si>
    <t>㈲杉田モータース</t>
    <rPh sb="1" eb="3">
      <t>スギタ</t>
    </rPh>
    <phoneticPr fontId="3"/>
  </si>
  <si>
    <t>支出</t>
  </si>
  <si>
    <t>対象外</t>
  </si>
  <si>
    <t>内税</t>
  </si>
  <si>
    <t>東京本社</t>
    <rPh sb="0" eb="4">
      <t>トウキョウホンシャ</t>
    </rPh>
    <phoneticPr fontId="3"/>
  </si>
  <si>
    <t>問屋事務所</t>
    <rPh sb="0" eb="5">
      <t>トンヤジムショ</t>
    </rPh>
    <phoneticPr fontId="3"/>
  </si>
  <si>
    <t>平出事務所</t>
    <rPh sb="0" eb="5">
      <t>ヒライデジムショ</t>
    </rPh>
    <phoneticPr fontId="3"/>
  </si>
  <si>
    <t>LC-0061</t>
    <phoneticPr fontId="3"/>
  </si>
  <si>
    <t>加須支店</t>
    <rPh sb="0" eb="4">
      <t>カゾシテン</t>
    </rPh>
    <phoneticPr fontId="3"/>
  </si>
  <si>
    <t>ﾕ)ｽｷﾞﾀﾓｰﾀｰｽ</t>
    <phoneticPr fontId="3"/>
  </si>
  <si>
    <t>㈲佐藤商会</t>
  </si>
  <si>
    <t>おもちゃのまち支店</t>
  </si>
  <si>
    <t>ﾕ)ｻﾄｳｼﾖｳｶｲ</t>
  </si>
  <si>
    <t>LC-0062</t>
    <phoneticPr fontId="3"/>
  </si>
  <si>
    <t>LC-0063</t>
    <phoneticPr fontId="3"/>
  </si>
  <si>
    <t>ハッピーライフケア㈱ワークスA</t>
    <phoneticPr fontId="3"/>
  </si>
  <si>
    <t>宇都宮中央支店</t>
    <rPh sb="0" eb="7">
      <t>ウツノミヤチュウオウシテン</t>
    </rPh>
    <phoneticPr fontId="3"/>
  </si>
  <si>
    <t>浅井こどもクリニック</t>
  </si>
  <si>
    <t>常陽銀行</t>
    <rPh sb="0" eb="2">
      <t>ジョウヨウ</t>
    </rPh>
    <rPh sb="2" eb="4">
      <t>ギンコウ</t>
    </rPh>
    <phoneticPr fontId="3"/>
  </si>
  <si>
    <t>小山東支店</t>
    <rPh sb="0" eb="5">
      <t>オヤマヒガシシテン</t>
    </rPh>
    <phoneticPr fontId="3"/>
  </si>
  <si>
    <t>ｱｻｲ ﾋﾃﾞﾐ</t>
  </si>
  <si>
    <t>医）飯岡医院</t>
  </si>
  <si>
    <t>竹園出張所</t>
  </si>
  <si>
    <t>ｲｲｵｶ ﾕｷｵ</t>
  </si>
  <si>
    <t>(合)デジタルポケット</t>
    <rPh sb="1" eb="2">
      <t>ゴウ</t>
    </rPh>
    <phoneticPr fontId="3"/>
  </si>
  <si>
    <t>ＧＭＯあおぞらネット銀行</t>
    <rPh sb="10" eb="12">
      <t>ギンコウ</t>
    </rPh>
    <phoneticPr fontId="3"/>
  </si>
  <si>
    <t>法人第二営業部</t>
    <rPh sb="0" eb="4">
      <t>ホウジンダイニ</t>
    </rPh>
    <rPh sb="4" eb="7">
      <t>エイギョウブ</t>
    </rPh>
    <phoneticPr fontId="3"/>
  </si>
  <si>
    <t>ﾄﾞ)ﾃﾞｼﾞﾀﾙﾎﾟｹｯﾄ</t>
    <phoneticPr fontId="3"/>
  </si>
  <si>
    <t>㈱サトー商会</t>
    <rPh sb="4" eb="6">
      <t>ショウカイ</t>
    </rPh>
    <phoneticPr fontId="3"/>
  </si>
  <si>
    <t>郡山卸町支店</t>
    <rPh sb="0" eb="2">
      <t>コオリヤマ</t>
    </rPh>
    <rPh sb="2" eb="4">
      <t>オロシマチ</t>
    </rPh>
    <rPh sb="4" eb="6">
      <t>シテン</t>
    </rPh>
    <phoneticPr fontId="3"/>
  </si>
  <si>
    <t>ｶ)ｻﾄｰｼｮｳｶｲ</t>
    <phoneticPr fontId="3"/>
  </si>
  <si>
    <t>㈱ホクトコーポレーション</t>
    <phoneticPr fontId="3"/>
  </si>
  <si>
    <t>㈱ホクトコーポレーション</t>
  </si>
  <si>
    <t>北日本銀行</t>
    <rPh sb="0" eb="5">
      <t>キタニホンギンコウ</t>
    </rPh>
    <phoneticPr fontId="3"/>
  </si>
  <si>
    <t>二日町支店</t>
    <rPh sb="0" eb="5">
      <t>フツカマチシテン</t>
    </rPh>
    <phoneticPr fontId="3"/>
  </si>
  <si>
    <t>ｶ)ﾎｸﾄｺｰﾎﾟﾚｰｼｮﾝ</t>
    <phoneticPr fontId="3"/>
  </si>
  <si>
    <t>六洋電気㈱</t>
    <rPh sb="0" eb="2">
      <t>ロクヨウ</t>
    </rPh>
    <rPh sb="2" eb="4">
      <t>デンキ</t>
    </rPh>
    <phoneticPr fontId="3"/>
  </si>
  <si>
    <t>北福島支店</t>
    <rPh sb="0" eb="5">
      <t>キタフクシマシテン</t>
    </rPh>
    <phoneticPr fontId="3"/>
  </si>
  <si>
    <t>ﾛｸﾖｳﾃﾞﾝｷ(ｶ</t>
    <phoneticPr fontId="3"/>
  </si>
  <si>
    <t>LC-0064</t>
  </si>
  <si>
    <t>LC-0065</t>
  </si>
  <si>
    <t>LC-0066</t>
  </si>
  <si>
    <t>LC-0067</t>
  </si>
  <si>
    <t>LC-0068</t>
  </si>
  <si>
    <t>LC-0069</t>
  </si>
  <si>
    <t>LC-0070</t>
  </si>
  <si>
    <t>㈱アイデム</t>
    <phoneticPr fontId="3"/>
  </si>
  <si>
    <t>新宿支店</t>
    <phoneticPr fontId="3"/>
  </si>
  <si>
    <t>ｶ)ｱｲﾃﾞﾑ</t>
    <phoneticPr fontId="3"/>
  </si>
  <si>
    <t>LC-0071</t>
  </si>
  <si>
    <t>㈱求人ジャーナル</t>
    <phoneticPr fontId="3"/>
  </si>
  <si>
    <t>高崎支店</t>
    <phoneticPr fontId="3"/>
  </si>
  <si>
    <t>ｶ)ｷﾕｳｼﾞﾝｼﾞﾔ-ﾅﾙ</t>
    <phoneticPr fontId="3"/>
  </si>
  <si>
    <t>ラベンダー支店</t>
    <rPh sb="5" eb="7">
      <t>シテン</t>
    </rPh>
    <phoneticPr fontId="3"/>
  </si>
  <si>
    <t>ｴｽｴﾑﾋﾞ-ｼ-ﾌｱｲﾅﾝｽｻ-ﾋﾞｽ(ｶ ﾘﾀﾘｺｷ</t>
  </si>
  <si>
    <t>賃借料</t>
    <rPh sb="0" eb="3">
      <t>チンシャクリョウ</t>
    </rPh>
    <phoneticPr fontId="3"/>
  </si>
  <si>
    <t>消耗品費</t>
    <rPh sb="0" eb="4">
      <t>ショウモウヒンヒ</t>
    </rPh>
    <phoneticPr fontId="3"/>
  </si>
  <si>
    <t>車両費</t>
    <rPh sb="0" eb="3">
      <t>シャリョウヒ</t>
    </rPh>
    <phoneticPr fontId="3"/>
  </si>
  <si>
    <t>ﾊｯﾋﾟｰﾗｲﾌｹｱ(ｶ</t>
    <phoneticPr fontId="3"/>
  </si>
  <si>
    <t>LC-0072</t>
    <phoneticPr fontId="3"/>
  </si>
  <si>
    <t>㈲宇都宮動物園</t>
    <rPh sb="1" eb="7">
      <t>ウツノミヤドウブツエン</t>
    </rPh>
    <phoneticPr fontId="3"/>
  </si>
  <si>
    <t>戸祭支店</t>
    <rPh sb="0" eb="4">
      <t>トマツリシテン</t>
    </rPh>
    <phoneticPr fontId="3"/>
  </si>
  <si>
    <t>ﾕ)ｳﾂﾉﾐﾔﾄﾞｳﾌﾞﾂｴﾝ</t>
    <phoneticPr fontId="3"/>
  </si>
  <si>
    <t>LC-0073</t>
    <phoneticPr fontId="3"/>
  </si>
  <si>
    <t>㈱A.P</t>
    <phoneticPr fontId="3"/>
  </si>
  <si>
    <t>きらぼし銀行</t>
    <rPh sb="4" eb="6">
      <t>ギンコウ</t>
    </rPh>
    <phoneticPr fontId="3"/>
  </si>
  <si>
    <t>御徒町支店</t>
    <rPh sb="0" eb="5">
      <t>オカチマチシテン</t>
    </rPh>
    <phoneticPr fontId="3"/>
  </si>
  <si>
    <t>ｶ)ｴｲﾋﾟｰ</t>
    <phoneticPr fontId="3"/>
  </si>
  <si>
    <t>LC-0074</t>
    <phoneticPr fontId="3"/>
  </si>
  <si>
    <t>㈱C･C･S</t>
  </si>
  <si>
    <t>竪町支店</t>
  </si>
  <si>
    <t>ｶ)ｼｲｼｲｴｽ</t>
  </si>
  <si>
    <t>LC-0075</t>
    <phoneticPr fontId="3"/>
  </si>
  <si>
    <t>㈱シフトブレイン</t>
  </si>
  <si>
    <t>渋谷支店</t>
    <rPh sb="0" eb="4">
      <t>シブヤシテン</t>
    </rPh>
    <phoneticPr fontId="3"/>
  </si>
  <si>
    <t>ｶ)ｼﾌﾄﾌﾞﾚｲﾝ</t>
  </si>
  <si>
    <t>LC-0076</t>
    <phoneticPr fontId="3"/>
  </si>
  <si>
    <t>東京海上日動ファシリティーズ㈱</t>
    <rPh sb="0" eb="6">
      <t>トウキョウカイジョウニチドウ</t>
    </rPh>
    <phoneticPr fontId="3"/>
  </si>
  <si>
    <t>丸の内支店</t>
    <rPh sb="0" eb="1">
      <t>マル</t>
    </rPh>
    <rPh sb="2" eb="5">
      <t>ウチシテン</t>
    </rPh>
    <phoneticPr fontId="3"/>
  </si>
  <si>
    <t>ﾄｳｷｮｳｶｲｼﾞｮｳﾆﾁﾄﾞｳﾌｧｼﾘﾃｰｨｽﾞ(ｶ</t>
    <phoneticPr fontId="3"/>
  </si>
  <si>
    <t>オートサービスひらさわ</t>
    <phoneticPr fontId="3"/>
  </si>
  <si>
    <t>LC-0077</t>
    <phoneticPr fontId="3"/>
  </si>
  <si>
    <t>いわき信用組合</t>
    <rPh sb="3" eb="7">
      <t>シンヨウクミアイ</t>
    </rPh>
    <phoneticPr fontId="3"/>
  </si>
  <si>
    <t>内郷支店</t>
    <rPh sb="0" eb="2">
      <t>ナイゴウ</t>
    </rPh>
    <rPh sb="2" eb="4">
      <t>シテン</t>
    </rPh>
    <phoneticPr fontId="3"/>
  </si>
  <si>
    <t>TOM Service</t>
    <phoneticPr fontId="3"/>
  </si>
  <si>
    <t>八生建設㈱</t>
    <rPh sb="0" eb="4">
      <t>ハツセイケンセツ</t>
    </rPh>
    <phoneticPr fontId="3"/>
  </si>
  <si>
    <t>LC-0078</t>
    <phoneticPr fontId="3"/>
  </si>
  <si>
    <t>与野支店</t>
    <rPh sb="0" eb="4">
      <t>ヨノシテン</t>
    </rPh>
    <phoneticPr fontId="3"/>
  </si>
  <si>
    <t>ﾊﾂｾｲｹﾝｾﾂ(ｶ</t>
    <phoneticPr fontId="3"/>
  </si>
  <si>
    <t>ﾋﾗｻﾜ ﾏｻｼｹﾞ</t>
  </si>
  <si>
    <t>東日本支店</t>
    <rPh sb="0" eb="5">
      <t>ヒガシニホンシテン</t>
    </rPh>
    <phoneticPr fontId="3"/>
  </si>
  <si>
    <t>ｶ)ﾈﾂﾄﾌﾟﾛﾃｸｼﾖﾝｽﾞ</t>
    <phoneticPr fontId="3"/>
  </si>
  <si>
    <t>LC-0079</t>
  </si>
  <si>
    <t>㈱LITALICO6720552</t>
    <phoneticPr fontId="3"/>
  </si>
  <si>
    <t>㈱LITALICO(リタリコキャリア)</t>
    <phoneticPr fontId="3"/>
  </si>
  <si>
    <t>LC-0080</t>
    <phoneticPr fontId="3"/>
  </si>
  <si>
    <t>㈱中広メディアソリューションズ</t>
    <phoneticPr fontId="3"/>
  </si>
  <si>
    <t>㈱中広メディアソリューションズ</t>
  </si>
  <si>
    <t>ぼたん支店</t>
  </si>
  <si>
    <t>ｶ)ﾁﾕｳｺｳﾒﾃﾞｲｱｿﾘﾕ-ｼﾖﾝｽﾞ</t>
  </si>
  <si>
    <t>LC-0081</t>
    <phoneticPr fontId="3"/>
  </si>
  <si>
    <t>表示灯㈱</t>
    <rPh sb="0" eb="3">
      <t>ヒョウジトウ</t>
    </rPh>
    <phoneticPr fontId="3"/>
  </si>
  <si>
    <t>なつぐも支店</t>
    <rPh sb="4" eb="6">
      <t>シテン</t>
    </rPh>
    <phoneticPr fontId="3"/>
  </si>
  <si>
    <t>ﾋｮｳｼﾞﾄｳ(ｶ</t>
    <phoneticPr fontId="3"/>
  </si>
  <si>
    <t>LC-0082</t>
    <phoneticPr fontId="3"/>
  </si>
  <si>
    <t>㈱マイナビ</t>
    <phoneticPr fontId="3"/>
  </si>
  <si>
    <t>神田支店</t>
    <rPh sb="0" eb="4">
      <t>カンダシテン</t>
    </rPh>
    <phoneticPr fontId="3"/>
  </si>
  <si>
    <t>ｶ)ﾏｲﾅﾋﾞ</t>
    <phoneticPr fontId="3"/>
  </si>
  <si>
    <t>LC-0083</t>
    <phoneticPr fontId="3"/>
  </si>
  <si>
    <t>㈱地域新聞社</t>
    <rPh sb="1" eb="6">
      <t>チイキシンブンシャ</t>
    </rPh>
    <phoneticPr fontId="3"/>
  </si>
  <si>
    <t>第十集中支店</t>
    <rPh sb="0" eb="4">
      <t>ダイジュウシュウチュウ</t>
    </rPh>
    <rPh sb="4" eb="6">
      <t>シテン</t>
    </rPh>
    <phoneticPr fontId="3"/>
  </si>
  <si>
    <t>ﾏﾈｰﾌｫﾜｰﾄﾞｹｯｻｲ(ｶ</t>
    <phoneticPr fontId="3"/>
  </si>
  <si>
    <t>LC-0084</t>
    <phoneticPr fontId="3"/>
  </si>
  <si>
    <t>勝田環境㈱</t>
    <rPh sb="0" eb="4">
      <t>カツタカンキョウ</t>
    </rPh>
    <phoneticPr fontId="3"/>
  </si>
  <si>
    <t>常陽銀行</t>
    <rPh sb="0" eb="4">
      <t>ジョウヨウギンコウ</t>
    </rPh>
    <phoneticPr fontId="3"/>
  </si>
  <si>
    <t>ひたちなか支店</t>
    <rPh sb="5" eb="7">
      <t>シテン</t>
    </rPh>
    <phoneticPr fontId="3"/>
  </si>
  <si>
    <t>ｶﾂﾀｶﾝｷｮｳ(ｶ</t>
    <phoneticPr fontId="3"/>
  </si>
  <si>
    <t>支出</t>
    <rPh sb="0" eb="2">
      <t>シシュツ</t>
    </rPh>
    <phoneticPr fontId="3"/>
  </si>
  <si>
    <t>収支区分</t>
    <phoneticPr fontId="3"/>
  </si>
  <si>
    <t>㈲コパン（㈱カウネット）6353088</t>
  </si>
  <si>
    <t>㈲コパン（㈱カウネット）1767596</t>
  </si>
  <si>
    <t>金額</t>
    <rPh sb="0" eb="2">
      <t>キンガク</t>
    </rPh>
    <phoneticPr fontId="3"/>
  </si>
  <si>
    <t>店舗名</t>
    <rPh sb="0" eb="3">
      <t>テンポメイ</t>
    </rPh>
    <phoneticPr fontId="3"/>
  </si>
  <si>
    <t>タイヤ・オイル交換</t>
    <rPh sb="7" eb="9">
      <t>コウカン</t>
    </rPh>
    <phoneticPr fontId="3"/>
  </si>
  <si>
    <t/>
  </si>
  <si>
    <t>スタッドレスタイヤ交換</t>
    <rPh sb="9" eb="11">
      <t>コウカン</t>
    </rPh>
    <phoneticPr fontId="3"/>
  </si>
  <si>
    <t>032KM 下高間木</t>
  </si>
  <si>
    <t>032KP 下高間木P</t>
  </si>
  <si>
    <t>037KM 鶴田プラス</t>
  </si>
  <si>
    <t>049KP 加須</t>
  </si>
  <si>
    <t>051KP ひたち野うしく</t>
  </si>
  <si>
    <t>052KP 幸手</t>
  </si>
  <si>
    <t>060KM 鴻巣</t>
  </si>
  <si>
    <t>061KP つくば</t>
  </si>
  <si>
    <t>067KM 古河</t>
  </si>
  <si>
    <t>095KP 新東大宮</t>
  </si>
  <si>
    <t>096KP 七北田</t>
  </si>
  <si>
    <t>100KP 市川大野</t>
  </si>
  <si>
    <t>102KP せんげん台</t>
  </si>
  <si>
    <t>111KM 富士松岡</t>
  </si>
  <si>
    <t>113KM メソッドせんげん台</t>
  </si>
  <si>
    <t>126KM 南宇都宮</t>
  </si>
  <si>
    <t>128KP 沼津</t>
  </si>
  <si>
    <t>144KM 新西川田</t>
  </si>
  <si>
    <t xml:space="preserve">フラットファイル樹脂とじ具 A4縦 桃 10冊 </t>
  </si>
  <si>
    <t xml:space="preserve">AST ペーパータオルレギュラー 200枚35入 </t>
  </si>
  <si>
    <t>002GW　宇都宮駅東</t>
    <rPh sb="6" eb="11">
      <t>ウツノミヤエキヒガシ</t>
    </rPh>
    <phoneticPr fontId="2"/>
  </si>
  <si>
    <t>005GH　古河</t>
    <rPh sb="6" eb="8">
      <t>コガ</t>
    </rPh>
    <phoneticPr fontId="2"/>
  </si>
  <si>
    <t>リングファイルPP</t>
    <phoneticPr fontId="3"/>
  </si>
  <si>
    <t>クリヤーポケット</t>
    <phoneticPr fontId="3"/>
  </si>
  <si>
    <t xml:space="preserve">コピー用紙 タイプ2 </t>
  </si>
  <si>
    <t xml:space="preserve">コピー用紙 タイプ2 </t>
    <phoneticPr fontId="3"/>
  </si>
  <si>
    <t>クレシアEFハンドタオル</t>
    <phoneticPr fontId="3"/>
  </si>
  <si>
    <t>コピー用紙 タイプ2</t>
    <phoneticPr fontId="3"/>
  </si>
  <si>
    <t>クラフトテープ付封筒</t>
    <phoneticPr fontId="3"/>
  </si>
  <si>
    <t>タイプ2スーパー高白色</t>
    <phoneticPr fontId="3"/>
  </si>
  <si>
    <t xml:space="preserve">テプラ PROテープ </t>
    <phoneticPr fontId="3"/>
  </si>
  <si>
    <t>テプラ PROテープ</t>
    <phoneticPr fontId="3"/>
  </si>
  <si>
    <t>クリヤーブックグラッセル</t>
    <phoneticPr fontId="3"/>
  </si>
  <si>
    <t>フラットファイル &lt;PP&gt; A5</t>
    <phoneticPr fontId="3"/>
  </si>
  <si>
    <t>取り出しやすい箱入クリヤブックリフィル多穴</t>
    <phoneticPr fontId="3"/>
  </si>
  <si>
    <t>フラットファイル樹脂とじ具</t>
    <phoneticPr fontId="3"/>
  </si>
  <si>
    <t xml:space="preserve">リムーバー ホッチポン 10号針用収納型 青 </t>
    <phoneticPr fontId="3"/>
  </si>
  <si>
    <t>取り出しやすいラミネートフィルム</t>
    <phoneticPr fontId="3"/>
  </si>
  <si>
    <t>FSC認証再生ペーパータオル</t>
    <phoneticPr fontId="3"/>
  </si>
  <si>
    <t>クリアーホルダー スタンダード</t>
    <phoneticPr fontId="3"/>
  </si>
  <si>
    <t>両面テープカッターなし</t>
    <phoneticPr fontId="3"/>
  </si>
  <si>
    <t>クラフトテープ</t>
    <phoneticPr fontId="3"/>
  </si>
  <si>
    <t>PP製カラー仕切りカード</t>
    <rPh sb="2" eb="3">
      <t>セイ</t>
    </rPh>
    <rPh sb="6" eb="8">
      <t>シキ</t>
    </rPh>
    <phoneticPr fontId="3"/>
  </si>
  <si>
    <t>取り出しやすい箱入り再生クリやブック</t>
    <rPh sb="0" eb="1">
      <t>ト</t>
    </rPh>
    <rPh sb="2" eb="3">
      <t>ダ</t>
    </rPh>
    <rPh sb="7" eb="9">
      <t>ハコイ</t>
    </rPh>
    <rPh sb="10" eb="12">
      <t>サイセイ</t>
    </rPh>
    <phoneticPr fontId="3"/>
  </si>
  <si>
    <t>オリジナルソフトカラー長3テープ付きホワイト</t>
    <rPh sb="11" eb="12">
      <t>ナガ</t>
    </rPh>
    <rPh sb="16" eb="17">
      <t>ツ</t>
    </rPh>
    <phoneticPr fontId="3"/>
  </si>
  <si>
    <t>クリヤーホルダー　スタンダード</t>
    <phoneticPr fontId="3"/>
  </si>
  <si>
    <t xml:space="preserve">AST ペーパータオルレギュラー 200枚35入 </t>
    <phoneticPr fontId="3"/>
  </si>
  <si>
    <t>スタンダード高白色タイプ</t>
    <rPh sb="6" eb="9">
      <t>コウハクショク</t>
    </rPh>
    <phoneticPr fontId="3"/>
  </si>
  <si>
    <t>コピー用紙　タイプ2</t>
    <rPh sb="3" eb="5">
      <t>ヨウシ</t>
    </rPh>
    <phoneticPr fontId="3"/>
  </si>
  <si>
    <t>㈲コパン（㈱カウネット）6361865</t>
    <phoneticPr fontId="3"/>
  </si>
  <si>
    <t>LC-0085</t>
    <phoneticPr fontId="3"/>
  </si>
  <si>
    <t>FSC取り出しやすいペーパータオル</t>
  </si>
  <si>
    <t>養生テープ クリア</t>
  </si>
  <si>
    <t xml:space="preserve">1, 132 </t>
  </si>
  <si>
    <t xml:space="preserve"> スタンダード高白色タイプ</t>
  </si>
  <si>
    <t>タイプ３高白色</t>
    <rPh sb="4" eb="7">
      <t>コウハクショク</t>
    </rPh>
    <phoneticPr fontId="0"/>
  </si>
  <si>
    <t>010GH 仙台</t>
    <rPh sb="6" eb="8">
      <t>センダイ</t>
    </rPh>
    <phoneticPr fontId="2"/>
  </si>
  <si>
    <t>リングファイルPP</t>
  </si>
  <si>
    <t>015GH 千葉花見川</t>
    <rPh sb="6" eb="8">
      <t>チバ</t>
    </rPh>
    <rPh sb="8" eb="11">
      <t>ハナミガワ</t>
    </rPh>
    <phoneticPr fontId="3"/>
  </si>
  <si>
    <t xml:space="preserve"> タイプ2 スーパー高白色</t>
  </si>
  <si>
    <t>パイプ式Fエコノミー両開き</t>
  </si>
  <si>
    <t>白ラベル</t>
  </si>
  <si>
    <t>エリエール Plus+キレイハンドタオル</t>
  </si>
  <si>
    <t>クリアーホルダー</t>
  </si>
  <si>
    <t>耐トラ付タップ</t>
  </si>
  <si>
    <t>クリヤーホルダー</t>
  </si>
  <si>
    <t>取り出しやすいクリヤブックリフィル</t>
  </si>
  <si>
    <t>011GH 足利</t>
    <rPh sb="6" eb="8">
      <t>アシカガ</t>
    </rPh>
    <phoneticPr fontId="3"/>
  </si>
  <si>
    <t>コピー用紙タイプ２</t>
    <rPh sb="3" eb="5">
      <t>ヨウシ</t>
    </rPh>
    <phoneticPr fontId="0"/>
  </si>
  <si>
    <t xml:space="preserve">カウネットふせん 75×75 4色 30冊 </t>
  </si>
  <si>
    <t>LC-0086</t>
  </si>
  <si>
    <t>㈲コパン（㈱カウネット）6354102</t>
    <phoneticPr fontId="3"/>
  </si>
  <si>
    <t>003GW 宿郷</t>
    <rPh sb="6" eb="8">
      <t>シュクゴウ</t>
    </rPh>
    <phoneticPr fontId="2"/>
  </si>
  <si>
    <t>001GP 宇都宮</t>
    <rPh sb="6" eb="9">
      <t>ウツノミヤ</t>
    </rPh>
    <phoneticPr fontId="2"/>
  </si>
  <si>
    <t>004GW 久喜</t>
    <rPh sb="6" eb="8">
      <t>クキ</t>
    </rPh>
    <phoneticPr fontId="2"/>
  </si>
  <si>
    <t>019KM 新間々田</t>
  </si>
  <si>
    <t>055KM 加須プラス</t>
  </si>
  <si>
    <t>065KP 阿見</t>
  </si>
  <si>
    <t>077KP 新伊勢崎</t>
  </si>
  <si>
    <t>093KM 勿来</t>
  </si>
  <si>
    <t>092KP 小鹿</t>
  </si>
  <si>
    <t>118KM ひたちなか</t>
  </si>
  <si>
    <t>123KP 作新台</t>
  </si>
  <si>
    <t>124KM メソッド 熊谷</t>
  </si>
  <si>
    <t>130KM 甲斐</t>
  </si>
  <si>
    <t>121KM 新荒川沖</t>
  </si>
  <si>
    <t>122KM 新岩曽</t>
  </si>
  <si>
    <t>001 ワークスA</t>
  </si>
  <si>
    <t>大井事務所</t>
    <rPh sb="0" eb="2">
      <t>オオイ</t>
    </rPh>
    <rPh sb="2" eb="4">
      <t>ジム</t>
    </rPh>
    <rPh sb="4" eb="5">
      <t>ショ</t>
    </rPh>
    <phoneticPr fontId="2"/>
  </si>
  <si>
    <r>
      <rPr>
        <sz val="10"/>
        <color rgb="FF000000"/>
        <rFont val="Arial"/>
        <family val="2"/>
      </rPr>
      <t>=table_HHHL</t>
    </r>
    <r>
      <rPr>
        <sz val="10"/>
        <color rgb="FF000000"/>
        <rFont val="ＭＳ Ｐゴシック"/>
        <family val="3"/>
        <charset val="128"/>
      </rPr>
      <t>共通店舗一覧</t>
    </r>
    <r>
      <rPr>
        <sz val="10"/>
        <color rgb="FF000000"/>
        <rFont val="Arial"/>
        <family val="2"/>
      </rPr>
      <t>m.xlsm!</t>
    </r>
    <r>
      <rPr>
        <sz val="10"/>
        <color rgb="FF000000"/>
        <rFont val="ＭＳ Ｐゴシック"/>
        <family val="3"/>
        <charset val="128"/>
      </rPr>
      <t>店舗名</t>
    </r>
    <phoneticPr fontId="3"/>
  </si>
  <si>
    <t>参照範囲</t>
    <rPh sb="0" eb="4">
      <t>サンショウハンイ</t>
    </rPh>
    <phoneticPr fontId="3"/>
  </si>
  <si>
    <t>外部table</t>
    <rPh sb="0" eb="2">
      <t>ガイブ</t>
    </rPh>
    <phoneticPr fontId="3"/>
  </si>
  <si>
    <t>名前</t>
    <rPh sb="0" eb="2">
      <t>ナマエ</t>
    </rPh>
    <phoneticPr fontId="3"/>
  </si>
  <si>
    <t>入力したいファイルで名前の定義をする</t>
    <rPh sb="0" eb="2">
      <t>ニュウリョク</t>
    </rPh>
    <rPh sb="10" eb="12">
      <t>ナマエ</t>
    </rPh>
    <rPh sb="13" eb="15">
      <t>テイギ</t>
    </rPh>
    <phoneticPr fontId="3"/>
  </si>
  <si>
    <r>
      <t>=</t>
    </r>
    <r>
      <rPr>
        <sz val="10"/>
        <color rgb="FF000000"/>
        <rFont val="ＭＳ ゴシック"/>
        <family val="3"/>
        <charset val="128"/>
      </rPr>
      <t>外部</t>
    </r>
    <r>
      <rPr>
        <sz val="10"/>
        <color rgb="FF000000"/>
        <rFont val="Arial"/>
        <family val="2"/>
      </rPr>
      <t>table</t>
    </r>
    <phoneticPr fontId="3"/>
  </si>
  <si>
    <r>
      <rPr>
        <sz val="10"/>
        <color rgb="FF000000"/>
        <rFont val="Arial"/>
        <family val="2"/>
      </rPr>
      <t>=table_HHHL</t>
    </r>
    <r>
      <rPr>
        <sz val="10"/>
        <color rgb="FF000000"/>
        <rFont val="ＭＳ ゴシック"/>
        <family val="3"/>
        <charset val="128"/>
      </rPr>
      <t>共通店舗一覧</t>
    </r>
    <r>
      <rPr>
        <sz val="10"/>
        <color rgb="FF000000"/>
        <rFont val="Arial"/>
        <family val="2"/>
      </rPr>
      <t>m.xlsm!</t>
    </r>
    <r>
      <rPr>
        <sz val="10"/>
        <color rgb="FF000000"/>
        <rFont val="ＭＳ ゴシック"/>
        <family val="3"/>
        <charset val="128"/>
      </rPr>
      <t>店舗名</t>
    </r>
    <phoneticPr fontId="3"/>
  </si>
  <si>
    <t>178KM市名坂</t>
  </si>
  <si>
    <t>宇都宮</t>
    <rPh sb="0" eb="3">
      <t>ウツノミヤ</t>
    </rPh>
    <phoneticPr fontId="3"/>
  </si>
  <si>
    <t>平出事務所</t>
    <phoneticPr fontId="3"/>
  </si>
  <si>
    <t>店舗名</t>
    <rPh sb="0" eb="3">
      <t>テンポメイ</t>
    </rPh>
    <phoneticPr fontId="3"/>
  </si>
  <si>
    <t>栃木1</t>
    <rPh sb="0" eb="2">
      <t>トチギ</t>
    </rPh>
    <phoneticPr fontId="3"/>
  </si>
  <si>
    <t>栃木2</t>
    <rPh sb="0" eb="2">
      <t>トチギ</t>
    </rPh>
    <phoneticPr fontId="3"/>
  </si>
  <si>
    <t>埼玉群馬</t>
    <rPh sb="0" eb="4">
      <t>サイタマグンマ</t>
    </rPh>
    <phoneticPr fontId="3"/>
  </si>
  <si>
    <t>茨城千葉</t>
    <rPh sb="0" eb="4">
      <t>イバラキチバ</t>
    </rPh>
    <phoneticPr fontId="3"/>
  </si>
  <si>
    <t>その他</t>
    <rPh sb="2" eb="3">
      <t>タ</t>
    </rPh>
    <phoneticPr fontId="3"/>
  </si>
  <si>
    <t>区分</t>
    <rPh sb="0" eb="2">
      <t>クブン</t>
    </rPh>
    <phoneticPr fontId="3"/>
  </si>
  <si>
    <t>アドレス</t>
    <phoneticPr fontId="3"/>
  </si>
  <si>
    <t>http://www.hug-globalkidsmethod.link/hug/wm/</t>
  </si>
  <si>
    <t>168KM南船橋</t>
    <phoneticPr fontId="3"/>
  </si>
  <si>
    <t>172KM守谷</t>
    <phoneticPr fontId="3"/>
  </si>
  <si>
    <t>173KP八千代村上</t>
    <phoneticPr fontId="3"/>
  </si>
  <si>
    <t>174KM新郡山静西</t>
    <phoneticPr fontId="3"/>
  </si>
  <si>
    <t>175KP流山</t>
    <phoneticPr fontId="3"/>
  </si>
  <si>
    <t>ワークス</t>
    <phoneticPr fontId="3"/>
  </si>
  <si>
    <t>001ワークスA</t>
  </si>
  <si>
    <t>001GC花見川</t>
    <rPh sb="5" eb="8">
      <t>ハナミガワ</t>
    </rPh>
    <phoneticPr fontId="2"/>
  </si>
  <si>
    <t>001GP宇都宮</t>
    <rPh sb="5" eb="8">
      <t>ウツノミヤ</t>
    </rPh>
    <phoneticPr fontId="2"/>
  </si>
  <si>
    <t>001GW新間々田</t>
    <rPh sb="5" eb="9">
      <t>シンママダ</t>
    </rPh>
    <phoneticPr fontId="3"/>
  </si>
  <si>
    <t>001KM岩曽</t>
  </si>
  <si>
    <t>001SFサカフル宇都宮</t>
  </si>
  <si>
    <t>001SF宇都宮</t>
  </si>
  <si>
    <t>001THザスパキッズ</t>
  </si>
  <si>
    <t>002GH水戸</t>
    <rPh sb="5" eb="7">
      <t>ミト</t>
    </rPh>
    <phoneticPr fontId="3"/>
  </si>
  <si>
    <t>002GP埼玉</t>
    <rPh sb="5" eb="7">
      <t>サイタマ</t>
    </rPh>
    <phoneticPr fontId="3"/>
  </si>
  <si>
    <t>002GW宇都宮駅東</t>
    <rPh sb="5" eb="10">
      <t>ウツノミヤエキヒガシ</t>
    </rPh>
    <phoneticPr fontId="3"/>
  </si>
  <si>
    <t>002KM御幸</t>
  </si>
  <si>
    <t>002SFサカフル小山</t>
  </si>
  <si>
    <t>002SF小山</t>
  </si>
  <si>
    <t>003GH加須</t>
    <rPh sb="5" eb="7">
      <t>カゾ</t>
    </rPh>
    <phoneticPr fontId="3"/>
  </si>
  <si>
    <t>003GW宿郷</t>
    <rPh sb="5" eb="7">
      <t>シュクゴウ</t>
    </rPh>
    <phoneticPr fontId="3"/>
  </si>
  <si>
    <t>003KM犬塚</t>
  </si>
  <si>
    <t>003SFサカフル古河</t>
  </si>
  <si>
    <t>003SF古河</t>
  </si>
  <si>
    <t>004GH福島</t>
    <rPh sb="5" eb="7">
      <t>フクシマ</t>
    </rPh>
    <phoneticPr fontId="3"/>
  </si>
  <si>
    <t>004GW久喜</t>
    <rPh sb="5" eb="7">
      <t>クキ</t>
    </rPh>
    <phoneticPr fontId="3"/>
  </si>
  <si>
    <t>004KM上戸祭</t>
  </si>
  <si>
    <t>005GH古河</t>
    <rPh sb="5" eb="7">
      <t>コガ</t>
    </rPh>
    <phoneticPr fontId="3"/>
  </si>
  <si>
    <t>006GH新松戸</t>
    <rPh sb="5" eb="8">
      <t>シンマツド</t>
    </rPh>
    <phoneticPr fontId="3"/>
  </si>
  <si>
    <t>006KM間々田</t>
  </si>
  <si>
    <t>007GH小山</t>
    <rPh sb="5" eb="7">
      <t>オヤマ</t>
    </rPh>
    <phoneticPr fontId="3"/>
  </si>
  <si>
    <t>007KMさくら</t>
  </si>
  <si>
    <t>008GH水戸Ⅱ</t>
    <rPh sb="5" eb="7">
      <t>ミト</t>
    </rPh>
    <phoneticPr fontId="3"/>
  </si>
  <si>
    <t>008KM真岡</t>
  </si>
  <si>
    <t>009GH土浦</t>
    <rPh sb="5" eb="7">
      <t>ツチウラ</t>
    </rPh>
    <phoneticPr fontId="3"/>
  </si>
  <si>
    <t>009KM桜通り</t>
  </si>
  <si>
    <t>009KP桜通り</t>
  </si>
  <si>
    <t>010GH仙台</t>
    <rPh sb="5" eb="7">
      <t>センダイ</t>
    </rPh>
    <phoneticPr fontId="3"/>
  </si>
  <si>
    <t>010KM真岡西</t>
  </si>
  <si>
    <t>011GH足利</t>
    <rPh sb="5" eb="7">
      <t>アシカガ</t>
    </rPh>
    <phoneticPr fontId="3"/>
  </si>
  <si>
    <t>011KM小山駅東</t>
  </si>
  <si>
    <t>011KP小山駅東</t>
  </si>
  <si>
    <t>012GH甲府</t>
    <rPh sb="5" eb="7">
      <t>コウフ</t>
    </rPh>
    <phoneticPr fontId="3"/>
  </si>
  <si>
    <t>012KM若松原</t>
  </si>
  <si>
    <t>013GH高崎北</t>
    <rPh sb="5" eb="7">
      <t>タカサキ</t>
    </rPh>
    <rPh sb="7" eb="8">
      <t>キタ</t>
    </rPh>
    <phoneticPr fontId="3"/>
  </si>
  <si>
    <t>013KM真岡東</t>
  </si>
  <si>
    <t>013KP真岡東</t>
  </si>
  <si>
    <t>014GH前橋東</t>
    <rPh sb="5" eb="7">
      <t>マエバシ</t>
    </rPh>
    <rPh sb="7" eb="8">
      <t>ヒガシ</t>
    </rPh>
    <phoneticPr fontId="3"/>
  </si>
  <si>
    <t>014KM西原</t>
  </si>
  <si>
    <t>015GH千葉花見川</t>
    <rPh sb="5" eb="7">
      <t>チバ</t>
    </rPh>
    <rPh sb="7" eb="10">
      <t>ハナミガワ</t>
    </rPh>
    <phoneticPr fontId="3"/>
  </si>
  <si>
    <t>015KM宮の内</t>
  </si>
  <si>
    <t>016KM新小山駅東</t>
  </si>
  <si>
    <t>017KM中戸祭</t>
    <rPh sb="5" eb="8">
      <t>ナカトマツリ</t>
    </rPh>
    <phoneticPr fontId="3"/>
  </si>
  <si>
    <t>018KM今泉新町</t>
  </si>
  <si>
    <t>018KP今泉新町</t>
  </si>
  <si>
    <t>019KM新間々田</t>
  </si>
  <si>
    <t>020KM新真岡西</t>
  </si>
  <si>
    <t>021KM新宮の内</t>
  </si>
  <si>
    <t>021KP新宮の内</t>
  </si>
  <si>
    <t>022KM宝積寺</t>
  </si>
  <si>
    <t>023KM貝島</t>
  </si>
  <si>
    <t>024KM並木</t>
  </si>
  <si>
    <t>025KM峰</t>
  </si>
  <si>
    <t>026KM江曽島</t>
  </si>
  <si>
    <t>027KMゆいの杜</t>
  </si>
  <si>
    <t>027KPゆいの杜</t>
  </si>
  <si>
    <t>028KM下栗</t>
  </si>
  <si>
    <t>029KM鶴田</t>
    <rPh sb="6" eb="7">
      <t>タ</t>
    </rPh>
    <phoneticPr fontId="3"/>
  </si>
  <si>
    <t>029KP鶴田K</t>
  </si>
  <si>
    <t>030KM西城南</t>
  </si>
  <si>
    <t>031KM新中戸祭</t>
  </si>
  <si>
    <t>031KP新中戸祭</t>
  </si>
  <si>
    <t>032KP下高間木</t>
  </si>
  <si>
    <t>033KM新鶴田</t>
  </si>
  <si>
    <t>034KM西茂呂</t>
  </si>
  <si>
    <t>034KP西茂呂</t>
  </si>
  <si>
    <t>035KM新さくら</t>
  </si>
  <si>
    <t>035KP新さくら</t>
  </si>
  <si>
    <t>036KM新下栗</t>
  </si>
  <si>
    <t>037KP鶴田プラス</t>
  </si>
  <si>
    <t>038KM中今泉</t>
  </si>
  <si>
    <t>038KP中今泉</t>
  </si>
  <si>
    <t>039KM国谷</t>
  </si>
  <si>
    <t>040KM東城南プラス</t>
  </si>
  <si>
    <t>040KP東城南プラス</t>
  </si>
  <si>
    <t>041KM益子</t>
  </si>
  <si>
    <t>042KM雀宮</t>
  </si>
  <si>
    <t>043KM新ゆいの杜</t>
  </si>
  <si>
    <t>044KM新峰</t>
  </si>
  <si>
    <t>045KM新西茂呂</t>
  </si>
  <si>
    <t>046KM簗瀬</t>
  </si>
  <si>
    <t>047KM壬生</t>
  </si>
  <si>
    <t>048KM新並木</t>
  </si>
  <si>
    <t>049KP加須</t>
  </si>
  <si>
    <t>050KM野木</t>
  </si>
  <si>
    <t>051KPひたち野うしく</t>
  </si>
  <si>
    <t>052KP幸手</t>
  </si>
  <si>
    <t>053KM鶴田ファン</t>
  </si>
  <si>
    <t>053KP鶴田ファン</t>
  </si>
  <si>
    <t>054KM矢板</t>
  </si>
  <si>
    <t>055KM加須プラス</t>
  </si>
  <si>
    <t>055KP加須プラス</t>
  </si>
  <si>
    <t>056KM氏家駅東</t>
  </si>
  <si>
    <t>057KM喜沢</t>
  </si>
  <si>
    <t>057KP喜沢</t>
  </si>
  <si>
    <t>058KM城東</t>
  </si>
  <si>
    <t>058KP城東</t>
  </si>
  <si>
    <t>059KM真岡西プラス</t>
  </si>
  <si>
    <t>060KM鴻巣</t>
  </si>
  <si>
    <t>060KP鴻巣</t>
  </si>
  <si>
    <t>061KPつくば</t>
  </si>
  <si>
    <t>062KMメソッド阿見</t>
  </si>
  <si>
    <t>063KM竹林</t>
  </si>
  <si>
    <t>063KP竹林</t>
  </si>
  <si>
    <t>064KP柏の葉</t>
  </si>
  <si>
    <t>065KPパーク阿見</t>
  </si>
  <si>
    <t>066KM上大久保</t>
  </si>
  <si>
    <t>066KP上大久保</t>
  </si>
  <si>
    <t>067KM古河</t>
  </si>
  <si>
    <t>067KP古河</t>
  </si>
  <si>
    <t>068KP伊勢崎</t>
  </si>
  <si>
    <t>069KP川越</t>
  </si>
  <si>
    <t>070KP前橋東</t>
  </si>
  <si>
    <t>071KP南浦和</t>
  </si>
  <si>
    <t>072KM長田</t>
  </si>
  <si>
    <t>073KP本庄</t>
  </si>
  <si>
    <t>074KMメソッド加須</t>
  </si>
  <si>
    <t>075KP柏</t>
  </si>
  <si>
    <t>076KM西城南プラス</t>
  </si>
  <si>
    <t>076KP西城南プラス</t>
  </si>
  <si>
    <t>077KP新伊勢崎</t>
  </si>
  <si>
    <t>078KP土浦</t>
  </si>
  <si>
    <t>079KM東大宮</t>
  </si>
  <si>
    <t>079KP東大宮</t>
  </si>
  <si>
    <t>080KM学園の森</t>
  </si>
  <si>
    <t>080KP学園の森</t>
  </si>
  <si>
    <t>081KM筑西</t>
  </si>
  <si>
    <t>081KP筑西</t>
  </si>
  <si>
    <t>082KM東宿郷</t>
  </si>
  <si>
    <t>083KM西川田</t>
  </si>
  <si>
    <t>085KP小針</t>
  </si>
  <si>
    <t>086KP熊谷</t>
  </si>
  <si>
    <t>087KP上尾</t>
  </si>
  <si>
    <t>088KP大間々</t>
  </si>
  <si>
    <t>089KP深谷</t>
  </si>
  <si>
    <t>090KM七井</t>
  </si>
  <si>
    <t>091KP袖ヶ浦</t>
  </si>
  <si>
    <t>092KP小鹿</t>
  </si>
  <si>
    <t>093KM勿来</t>
  </si>
  <si>
    <t>094KM千駄塚</t>
  </si>
  <si>
    <t>095KP新東大宮</t>
  </si>
  <si>
    <t>097KP高柳</t>
  </si>
  <si>
    <t>098KM伊勢崎茂呂</t>
  </si>
  <si>
    <t>099KM大泉</t>
  </si>
  <si>
    <t>099KP大泉</t>
  </si>
  <si>
    <t>100KP市川大野</t>
  </si>
  <si>
    <t>101KP前橋大利根</t>
  </si>
  <si>
    <t>102KPせんげん台</t>
  </si>
  <si>
    <t>103KM新上大久保</t>
  </si>
  <si>
    <t>103KP新上大久保</t>
  </si>
  <si>
    <t>104KP与野</t>
  </si>
  <si>
    <t>105KM新古河</t>
  </si>
  <si>
    <t>106KMいわき平</t>
  </si>
  <si>
    <t>107KM雨ケ谷新田</t>
  </si>
  <si>
    <t>108KM浦和中尾</t>
  </si>
  <si>
    <t>108KP浦和中尾</t>
  </si>
  <si>
    <t>109KM大田原</t>
  </si>
  <si>
    <t>110KM我孫子</t>
  </si>
  <si>
    <t>111KM富士松岡</t>
  </si>
  <si>
    <t>112KM佐野</t>
  </si>
  <si>
    <t>112KP佐野</t>
  </si>
  <si>
    <t>113KMメソッドせんげん台</t>
  </si>
  <si>
    <t>114KM栃木蔵の街</t>
  </si>
  <si>
    <t>115KM筑西プラス</t>
  </si>
  <si>
    <t>115KP筑西プラス</t>
  </si>
  <si>
    <t>116KM西郷</t>
  </si>
  <si>
    <t>117KP八千代高津</t>
  </si>
  <si>
    <t>118KMひたちなか</t>
  </si>
  <si>
    <t>118KPひたちなか</t>
  </si>
  <si>
    <t>119KM新潟青山</t>
  </si>
  <si>
    <t>120KM荒川沖</t>
  </si>
  <si>
    <t>121KM新荒川沖</t>
  </si>
  <si>
    <t>122KM新岩曽</t>
  </si>
  <si>
    <t>123KP作新台</t>
  </si>
  <si>
    <t>124KMメソッド熊谷</t>
  </si>
  <si>
    <t>125KM新加須</t>
  </si>
  <si>
    <t>126KM南宇都宮</t>
  </si>
  <si>
    <t>127KP園生町</t>
  </si>
  <si>
    <t>128KP沼津</t>
  </si>
  <si>
    <t>129KP船橋夏見</t>
  </si>
  <si>
    <t>130KM甲斐</t>
  </si>
  <si>
    <t>131KM新潟空港通り</t>
  </si>
  <si>
    <t>131KP新潟空港通り</t>
  </si>
  <si>
    <t>132KP南沼上</t>
  </si>
  <si>
    <t>133KM厚木及川</t>
  </si>
  <si>
    <t>133KP厚木及川</t>
  </si>
  <si>
    <t>134KP北国分</t>
  </si>
  <si>
    <t>135KM篠ノ井</t>
  </si>
  <si>
    <t>135KP篠ノ井</t>
  </si>
  <si>
    <t>136KM古河旭町</t>
  </si>
  <si>
    <t>137KP新栃木</t>
  </si>
  <si>
    <t>138KM松本水汲</t>
  </si>
  <si>
    <t>138KP松本水汲</t>
  </si>
  <si>
    <t>139KM岡本</t>
  </si>
  <si>
    <t>140KM上越</t>
  </si>
  <si>
    <t>141KM錦</t>
  </si>
  <si>
    <t>142KM小新</t>
  </si>
  <si>
    <t>143KM平松本町</t>
    <rPh sb="5" eb="9">
      <t>ヒラマツホンマチ</t>
    </rPh>
    <phoneticPr fontId="3"/>
  </si>
  <si>
    <t>144KM新西川田</t>
    <rPh sb="5" eb="9">
      <t>シンニシカワダ</t>
    </rPh>
    <phoneticPr fontId="3"/>
  </si>
  <si>
    <t>145KM加須ファン</t>
  </si>
  <si>
    <t>146KM結城</t>
  </si>
  <si>
    <t>147KM市原五井</t>
  </si>
  <si>
    <t>147KP市原五井</t>
  </si>
  <si>
    <t>148KM水戸平須</t>
  </si>
  <si>
    <t>149KMさくらプラス</t>
  </si>
  <si>
    <t>150KM小名浜</t>
  </si>
  <si>
    <t>151KM今市</t>
  </si>
  <si>
    <t>152KP郡山静町</t>
  </si>
  <si>
    <t>153KMつくば学園南</t>
  </si>
  <si>
    <t>154KM加須騎西</t>
  </si>
  <si>
    <t>155KM南与野</t>
  </si>
  <si>
    <t>156KM新ひたちなか</t>
  </si>
  <si>
    <t>158KP境町</t>
  </si>
  <si>
    <t>159KP東岩槻</t>
  </si>
  <si>
    <t>160KPつくばみどりの東</t>
  </si>
  <si>
    <t>161KM牛久田宮</t>
  </si>
  <si>
    <t>163KM新潟山木戸</t>
  </si>
  <si>
    <t>164KM太田</t>
  </si>
  <si>
    <t>165KM新鴻巣</t>
  </si>
  <si>
    <t>166KM郡山静西</t>
  </si>
  <si>
    <t>167KM前橋青葉町</t>
  </si>
  <si>
    <t>170KM新本庄</t>
  </si>
  <si>
    <t>171KM新潟大野町</t>
  </si>
  <si>
    <t>176KM伊勢崎宮前</t>
  </si>
  <si>
    <t>177KM新中今泉</t>
  </si>
  <si>
    <t>NHT宇都宮</t>
    <rPh sb="3" eb="6">
      <t>ウツノミヤ</t>
    </rPh>
    <phoneticPr fontId="2"/>
  </si>
  <si>
    <t>005KM東城南</t>
    <phoneticPr fontId="3"/>
  </si>
  <si>
    <t>https://www.hug-globalkidsmethod05.link/hug/wm/actual_cost_management.php</t>
  </si>
  <si>
    <t>https://www.hug-globalkidsmethod.link/hug/wm/actual_cost_management.php</t>
  </si>
  <si>
    <t>https://www.hug-globalkidsmethod06.link/hug/wm/actual_cost_management.php</t>
  </si>
  <si>
    <t>https://www.hug-globalkidsmethod.link/hug/wm/actual_cost_management.php?mode=detail_list&amp;date=2026-04-25&amp;f_id=37</t>
  </si>
  <si>
    <t>HUGになし</t>
    <phoneticPr fontId="3"/>
  </si>
  <si>
    <t>https://www.hug-globalkidsmethod05.link/hug/wm/actual_cost_management.php</t>
    <phoneticPr fontId="3"/>
  </si>
  <si>
    <t>actual_cost_management.php</t>
  </si>
  <si>
    <t>http://www.hug-globalkidsmethod03.link/hug/wm/actual_cost_management.php</t>
  </si>
  <si>
    <t>http://www.hug-globalkidsmethod06.link/hug/wm/actual_cost_management.php</t>
  </si>
  <si>
    <t>http://www.hug-globalkidsmethod02.link/hug/wm/actual_cost_management.php</t>
  </si>
  <si>
    <t>http://www.hug-globalkidsmethod.link/hug/wm/actual_cost_management.php</t>
  </si>
  <si>
    <t>http://www.hug-globalkidsmethod04.link/hug/wm/actual_cost_management.php</t>
  </si>
  <si>
    <t>http://www.hug-globalkidsmethod05.link/hug/wm/actual_cost_management.php</t>
  </si>
  <si>
    <r>
      <t>065KM</t>
    </r>
    <r>
      <rPr>
        <sz val="10"/>
        <color theme="1"/>
        <rFont val="ＭＳ ゴシック"/>
        <family val="3"/>
        <charset val="128"/>
      </rPr>
      <t>阿見</t>
    </r>
    <phoneticPr fontId="3"/>
  </si>
  <si>
    <r>
      <t>084KP</t>
    </r>
    <r>
      <rPr>
        <sz val="10"/>
        <color theme="1"/>
        <rFont val="ＭＳ ゴシック"/>
        <family val="3"/>
        <charset val="128"/>
      </rPr>
      <t>麗澤大学前</t>
    </r>
    <phoneticPr fontId="3"/>
  </si>
  <si>
    <t>サカフル宇都宮</t>
    <rPh sb="4" eb="7">
      <t>ウツノミヤ</t>
    </rPh>
    <phoneticPr fontId="3"/>
  </si>
  <si>
    <t>https://www.hug-globalkidsmethod.link/hug/wm/actual_cost_management.php</t>
    <phoneticPr fontId="3"/>
  </si>
  <si>
    <t>欠席加算url</t>
    <rPh sb="0" eb="4">
      <t>ケッセキカサン</t>
    </rPh>
    <phoneticPr fontId="3"/>
  </si>
  <si>
    <t>エリアurl</t>
    <phoneticPr fontId="3"/>
  </si>
  <si>
    <t>https://www.hug-globalkidsmethod.link/hug/wm/</t>
    <phoneticPr fontId="3"/>
  </si>
  <si>
    <t>https://www.hug-globalkidsmethod02.link/hug/wm/</t>
    <phoneticPr fontId="3"/>
  </si>
  <si>
    <t>https://www.hug-globalkidsmethod03.link/hug/wm/</t>
    <phoneticPr fontId="3"/>
  </si>
  <si>
    <t>https://www.hug-globalkidsmethod04.link/hug/wm/</t>
    <phoneticPr fontId="3"/>
  </si>
  <si>
    <t>https://www.hug-globalkidsmethod05.link/hug/wm/</t>
    <phoneticPr fontId="3"/>
  </si>
  <si>
    <t>https://www.hug-globalkidsmethod06.link/hug/wm/</t>
    <phoneticPr fontId="3"/>
  </si>
  <si>
    <t>attendance.php?mode=detail&amp;f_id=4&amp;date=2026-05-10</t>
  </si>
  <si>
    <t>欠席加算末尾</t>
    <rPh sb="0" eb="4">
      <t>ケッセキカサン</t>
    </rPh>
    <rPh sb="4" eb="6">
      <t>マツビ</t>
    </rPh>
    <phoneticPr fontId="3"/>
  </si>
  <si>
    <t>欠席時対応記録票</t>
  </si>
  <si>
    <r>
      <t>162KM</t>
    </r>
    <r>
      <rPr>
        <sz val="10"/>
        <color theme="1"/>
        <rFont val="ＭＳ ゴシック"/>
        <family val="3"/>
        <charset val="128"/>
      </rPr>
      <t>宇都宮みどり野</t>
    </r>
    <phoneticPr fontId="3"/>
  </si>
  <si>
    <r>
      <t>164KP</t>
    </r>
    <r>
      <rPr>
        <sz val="10"/>
        <color theme="1"/>
        <rFont val="ＭＳ ゴシック"/>
        <family val="3"/>
        <charset val="128"/>
      </rPr>
      <t>太田</t>
    </r>
    <phoneticPr fontId="3"/>
  </si>
  <si>
    <r>
      <t>169KM</t>
    </r>
    <r>
      <rPr>
        <sz val="10"/>
        <color theme="1"/>
        <rFont val="ＭＳ ゴシック"/>
        <family val="3"/>
        <charset val="128"/>
      </rPr>
      <t>鐺山</t>
    </r>
    <phoneticPr fontId="3"/>
  </si>
  <si>
    <t>002SFサカフル小山</t>
    <rPh sb="9" eb="11">
      <t>オヤマ</t>
    </rPh>
    <phoneticPr fontId="3"/>
  </si>
  <si>
    <t>003SFサカフル古河</t>
    <rPh sb="9" eb="11">
      <t>コガ</t>
    </rPh>
    <phoneticPr fontId="3"/>
  </si>
  <si>
    <t>茨城千葉</t>
    <rPh sb="0" eb="2">
      <t>イバラキ</t>
    </rPh>
    <rPh sb="2" eb="4">
      <t>チバ</t>
    </rPh>
    <phoneticPr fontId="3"/>
  </si>
  <si>
    <t>レク費url</t>
    <rPh sb="2" eb="3">
      <t>ヒ</t>
    </rPh>
    <phoneticPr fontId="3"/>
  </si>
  <si>
    <r>
      <rPr>
        <strike/>
        <u val="double"/>
        <sz val="10"/>
        <color rgb="FF000000"/>
        <rFont val="Meiryo UI"/>
        <family val="3"/>
        <charset val="128"/>
      </rPr>
      <t>その他</t>
    </r>
    <rPh sb="2" eb="3">
      <t>タ</t>
    </rPh>
    <phoneticPr fontId="3"/>
  </si>
  <si>
    <r>
      <t>157KM</t>
    </r>
    <r>
      <rPr>
        <sz val="10"/>
        <color rgb="FFFFFFFF"/>
        <rFont val="ＭＳ Ｐゴシック"/>
        <family val="2"/>
        <charset val="128"/>
      </rPr>
      <t>メソッド</t>
    </r>
    <r>
      <rPr>
        <sz val="10"/>
        <color rgb="FFFFFFFF"/>
        <rFont val="ＭＳ ゴシック"/>
        <family val="3"/>
        <charset val="128"/>
      </rPr>
      <t>新栃木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</si>
</sst>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28">
    <font>
      <sz val="10"/>
      <color rgb="FF000000"/>
      <name val="Arial"/>
    </font>
    <font>
      <sz val="11"/>
      <color theme="1"/>
      <name val="Arial"/>
      <family val="2"/>
      <charset val="128"/>
      <scheme val="minor"/>
    </font>
    <font>
      <sz val="10"/>
      <color rgb="FF000000"/>
      <name val="Arial"/>
      <family val="2"/>
    </font>
    <font>
      <sz val="6"/>
      <name val="ＭＳ Ｐゴシック"/>
      <family val="3"/>
      <charset val="128"/>
    </font>
    <font>
      <sz val="16"/>
      <color theme="1"/>
      <name val="Meiryo UI"/>
      <family val="2"/>
      <charset val="128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  <charset val="128"/>
      <scheme val="minor"/>
    </font>
    <font>
      <sz val="10"/>
      <color rgb="FF000000"/>
      <name val="Meiryo"/>
      <family val="3"/>
      <charset val="128"/>
    </font>
    <font>
      <sz val="10"/>
      <color rgb="FF000000"/>
      <name val="ＭＳ Ｐゴシック"/>
      <family val="2"/>
      <charset val="128"/>
    </font>
    <font>
      <sz val="10"/>
      <color theme="1"/>
      <name val="Meiryo UI"/>
      <family val="3"/>
      <charset val="128"/>
    </font>
    <font>
      <sz val="10"/>
      <color theme="1"/>
      <name val="Meiryo"/>
      <family val="3"/>
      <charset val="128"/>
    </font>
    <font>
      <sz val="10"/>
      <color theme="1"/>
      <name val="Arial"/>
      <family val="2"/>
    </font>
    <font>
      <sz val="10"/>
      <color rgb="FFFFFFFF"/>
      <name val="Arial"/>
      <family val="2"/>
    </font>
    <font>
      <sz val="10"/>
      <color theme="1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u/>
      <sz val="10"/>
      <color theme="10"/>
      <name val="Arial"/>
      <family val="2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ゴシック"/>
      <family val="3"/>
      <charset val="128"/>
    </font>
    <font>
      <strike/>
      <u val="double"/>
      <sz val="10"/>
      <color theme="1"/>
      <name val="Arial"/>
      <family val="2"/>
    </font>
    <font>
      <strike/>
      <u val="double"/>
      <sz val="10"/>
      <color rgb="FF000000"/>
      <name val="Arial"/>
      <family val="2"/>
    </font>
    <font>
      <strike/>
      <u val="double"/>
      <sz val="10"/>
      <color rgb="FF000000"/>
      <name val="Meiryo UI"/>
      <family val="3"/>
      <charset val="128"/>
    </font>
    <font>
      <strike/>
      <u val="double"/>
      <sz val="10"/>
      <color theme="10"/>
      <name val="Arial"/>
      <family val="2"/>
    </font>
    <font>
      <sz val="10"/>
      <color rgb="FFFFFFFF"/>
      <name val="ＭＳ ゴシック"/>
      <family val="3"/>
      <charset val="128"/>
    </font>
    <font>
      <sz val="10"/>
      <color rgb="FFFFFFFF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1">
    <xf numFmtId="0" fontId="0" fillId="0" borderId="0"/>
    <xf numFmtId="0" fontId="4" fillId="0" borderId="0">
      <alignment vertical="center"/>
    </xf>
    <xf numFmtId="6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" fillId="0" borderId="0"/>
    <xf numFmtId="6" fontId="8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6" fontId="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/>
  </cellStyleXfs>
  <cellXfs count="60">
    <xf numFmtId="0" fontId="0" fillId="0" borderId="0" xfId="0"/>
    <xf numFmtId="0" fontId="7" fillId="0" borderId="0" xfId="0" applyFont="1"/>
    <xf numFmtId="0" fontId="7" fillId="0" borderId="0" xfId="4" applyFont="1"/>
    <xf numFmtId="38" fontId="7" fillId="0" borderId="0" xfId="6" applyFont="1" applyAlignment="1"/>
    <xf numFmtId="14" fontId="7" fillId="0" borderId="0" xfId="4" applyNumberFormat="1" applyFont="1"/>
    <xf numFmtId="0" fontId="6" fillId="0" borderId="0" xfId="4" applyFont="1"/>
    <xf numFmtId="14" fontId="7" fillId="0" borderId="0" xfId="4" applyNumberFormat="1" applyFont="1" applyAlignment="1">
      <alignment horizontal="right"/>
    </xf>
    <xf numFmtId="38" fontId="7" fillId="0" borderId="0" xfId="6" applyFont="1" applyFill="1" applyAlignment="1"/>
    <xf numFmtId="38" fontId="7" fillId="0" borderId="0" xfId="6" applyFont="1" applyFill="1" applyAlignment="1">
      <alignment horizontal="right"/>
    </xf>
    <xf numFmtId="38" fontId="6" fillId="0" borderId="0" xfId="6" applyFont="1" applyFill="1" applyAlignment="1"/>
    <xf numFmtId="0" fontId="7" fillId="2" borderId="0" xfId="0" applyFont="1" applyFill="1"/>
    <xf numFmtId="0" fontId="5" fillId="0" borderId="0" xfId="1" applyFont="1" applyAlignment="1">
      <alignment vertical="center" wrapText="1"/>
    </xf>
    <xf numFmtId="38" fontId="7" fillId="0" borderId="1" xfId="6" applyFont="1" applyFill="1" applyBorder="1" applyAlignment="1">
      <alignment horizontal="right"/>
    </xf>
    <xf numFmtId="0" fontId="6" fillId="0" borderId="1" xfId="4" applyFont="1" applyBorder="1"/>
    <xf numFmtId="0" fontId="7" fillId="0" borderId="1" xfId="4" applyFont="1" applyBorder="1"/>
    <xf numFmtId="0" fontId="7" fillId="0" borderId="1" xfId="4" applyFont="1" applyBorder="1" applyAlignment="1">
      <alignment horizontal="right"/>
    </xf>
    <xf numFmtId="0" fontId="7" fillId="0" borderId="2" xfId="4" applyFont="1" applyBorder="1"/>
    <xf numFmtId="0" fontId="7" fillId="0" borderId="3" xfId="4" applyFont="1" applyBorder="1"/>
    <xf numFmtId="38" fontId="7" fillId="0" borderId="3" xfId="6" applyFont="1" applyFill="1" applyBorder="1" applyAlignment="1"/>
    <xf numFmtId="0" fontId="9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9" fillId="0" borderId="2" xfId="0" applyFont="1" applyBorder="1" applyAlignment="1">
      <alignment wrapText="1"/>
    </xf>
    <xf numFmtId="3" fontId="2" fillId="0" borderId="2" xfId="0" applyNumberFormat="1" applyFont="1" applyBorder="1" applyAlignment="1">
      <alignment wrapText="1"/>
    </xf>
    <xf numFmtId="3" fontId="2" fillId="0" borderId="1" xfId="0" applyNumberFormat="1" applyFont="1" applyBorder="1" applyAlignment="1">
      <alignment wrapText="1"/>
    </xf>
    <xf numFmtId="14" fontId="6" fillId="0" borderId="1" xfId="4" applyNumberFormat="1" applyFont="1" applyBorder="1" applyAlignment="1">
      <alignment vertical="center"/>
    </xf>
    <xf numFmtId="0" fontId="7" fillId="0" borderId="1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7" fillId="2" borderId="0" xfId="4" applyFont="1" applyFill="1"/>
    <xf numFmtId="38" fontId="11" fillId="2" borderId="0" xfId="6" applyFont="1" applyFill="1" applyAlignment="1"/>
    <xf numFmtId="3" fontId="12" fillId="0" borderId="1" xfId="0" applyNumberFormat="1" applyFont="1" applyBorder="1" applyAlignment="1">
      <alignment horizontal="right" wrapText="1"/>
    </xf>
    <xf numFmtId="38" fontId="11" fillId="0" borderId="0" xfId="6" applyFont="1" applyAlignment="1"/>
    <xf numFmtId="0" fontId="13" fillId="7" borderId="4" xfId="0" applyFont="1" applyFill="1" applyBorder="1" applyAlignment="1">
      <alignment wrapText="1"/>
    </xf>
    <xf numFmtId="0" fontId="13" fillId="8" borderId="4" xfId="0" applyFont="1" applyFill="1" applyBorder="1" applyAlignment="1">
      <alignment wrapText="1"/>
    </xf>
    <xf numFmtId="0" fontId="16" fillId="0" borderId="0" xfId="0" applyFont="1"/>
    <xf numFmtId="0" fontId="2" fillId="0" borderId="0" xfId="4"/>
    <xf numFmtId="0" fontId="16" fillId="0" borderId="0" xfId="4" quotePrefix="1" applyFont="1"/>
    <xf numFmtId="0" fontId="16" fillId="0" borderId="0" xfId="4" applyFont="1"/>
    <xf numFmtId="0" fontId="2" fillId="0" borderId="0" xfId="4" quotePrefix="1"/>
    <xf numFmtId="0" fontId="10" fillId="0" borderId="0" xfId="4" quotePrefix="1" applyFont="1"/>
    <xf numFmtId="0" fontId="13" fillId="7" borderId="0" xfId="0" applyFont="1" applyFill="1" applyAlignment="1">
      <alignment wrapText="1"/>
    </xf>
    <xf numFmtId="0" fontId="13" fillId="5" borderId="0" xfId="0" applyFont="1" applyFill="1" applyAlignment="1">
      <alignment wrapText="1"/>
    </xf>
    <xf numFmtId="0" fontId="13" fillId="3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14" fillId="4" borderId="0" xfId="0" applyFont="1" applyFill="1" applyAlignment="1">
      <alignment wrapText="1"/>
    </xf>
    <xf numFmtId="0" fontId="18" fillId="0" borderId="0" xfId="10"/>
    <xf numFmtId="0" fontId="13" fillId="0" borderId="4" xfId="0" applyFont="1" applyBorder="1" applyAlignment="1">
      <alignment wrapText="1"/>
    </xf>
    <xf numFmtId="0" fontId="13" fillId="0" borderId="0" xfId="0" applyFont="1" applyAlignment="1">
      <alignment wrapText="1"/>
    </xf>
    <xf numFmtId="0" fontId="7" fillId="0" borderId="4" xfId="0" applyFont="1" applyBorder="1"/>
    <xf numFmtId="0" fontId="15" fillId="9" borderId="0" xfId="0" applyFont="1" applyFill="1" applyAlignment="1">
      <alignment wrapText="1"/>
    </xf>
    <xf numFmtId="0" fontId="7" fillId="9" borderId="0" xfId="0" applyFont="1" applyFill="1"/>
    <xf numFmtId="0" fontId="13" fillId="9" borderId="0" xfId="0" applyFont="1" applyFill="1" applyAlignment="1">
      <alignment wrapText="1"/>
    </xf>
    <xf numFmtId="0" fontId="7" fillId="9" borderId="4" xfId="0" applyFont="1" applyFill="1" applyBorder="1"/>
    <xf numFmtId="0" fontId="15" fillId="0" borderId="4" xfId="0" applyFont="1" applyBorder="1" applyAlignment="1">
      <alignment wrapText="1"/>
    </xf>
    <xf numFmtId="49" fontId="7" fillId="0" borderId="0" xfId="0" applyNumberFormat="1" applyFont="1"/>
    <xf numFmtId="0" fontId="18" fillId="2" borderId="0" xfId="10" applyFill="1"/>
    <xf numFmtId="0" fontId="22" fillId="8" borderId="4" xfId="0" applyFont="1" applyFill="1" applyBorder="1" applyAlignment="1">
      <alignment wrapText="1"/>
    </xf>
    <xf numFmtId="0" fontId="23" fillId="0" borderId="0" xfId="0" applyFont="1"/>
    <xf numFmtId="0" fontId="25" fillId="0" borderId="0" xfId="10" applyFont="1"/>
    <xf numFmtId="0" fontId="25" fillId="2" borderId="0" xfId="10" applyFont="1" applyFill="1"/>
  </cellXfs>
  <cellStyles count="11">
    <cellStyle name="ハイパーリンク" xfId="10" builtinId="8"/>
    <cellStyle name="桁区切り 2" xfId="6" xr:uid="{374187E6-118C-4C02-BB3B-C64415CDE7D1}"/>
    <cellStyle name="通貨 17" xfId="5" xr:uid="{6F2CEA90-277E-49D0-8299-EB1C0BD056CA}"/>
    <cellStyle name="通貨 17 2" xfId="9" xr:uid="{4CD8D4F7-25F3-46C4-B5C7-12F79321C7C3}"/>
    <cellStyle name="通貨 2" xfId="2" xr:uid="{4CB45676-16C0-4ED6-BD14-2BBF77C0536B}"/>
    <cellStyle name="通貨 2 2" xfId="7" xr:uid="{DA5A4841-5D83-4F71-AC72-D39C4AEE58C9}"/>
    <cellStyle name="標準" xfId="0" builtinId="0"/>
    <cellStyle name="標準 2" xfId="1" xr:uid="{403405FB-EA6F-4A1E-BF79-B3EDB032228A}"/>
    <cellStyle name="標準 2 2" xfId="4" xr:uid="{F13C85D1-51DF-445C-88A6-83096DF7166E}"/>
    <cellStyle name="標準 8" xfId="3" xr:uid="{C6B12DBF-DB4D-4205-86B4-3AD4391E3BAD}"/>
    <cellStyle name="標準 8 2" xfId="8" xr:uid="{24655391-0AB5-4982-B340-9215DC5EB2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5</xdr:col>
      <xdr:colOff>533900</xdr:colOff>
      <xdr:row>16</xdr:row>
      <xdr:rowOff>271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160EFD5-0299-93CE-2353-72026B307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47700"/>
          <a:ext cx="3581900" cy="19433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114826</xdr:colOff>
      <xdr:row>38</xdr:row>
      <xdr:rowOff>29054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45D31B0-4850-65F5-9845-E2D37896B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752725"/>
          <a:ext cx="3772426" cy="3429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hug-globalkidsmethod.link/hug/wm/actual_cost_management.php" TargetMode="External"/><Relationship Id="rId1" Type="http://schemas.openxmlformats.org/officeDocument/2006/relationships/hyperlink" Target="https://www.hug-globalkidsmethod05.link/hug/wm/actual_cost_management.php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7F66-9144-4AF4-AD59-08C517AFAC7D}">
  <sheetPr codeName="Sheet1">
    <outlinePr summaryBelow="0" summaryRight="0"/>
    <pageSetUpPr fitToPage="1"/>
  </sheetPr>
  <dimension ref="A1:U143"/>
  <sheetViews>
    <sheetView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N33" sqref="N33"/>
    </sheetView>
  </sheetViews>
  <sheetFormatPr defaultColWidth="14.42578125" defaultRowHeight="15.75" customHeight="1"/>
  <cols>
    <col min="1" max="1" width="8.7109375" style="2" customWidth="1"/>
    <col min="2" max="2" width="12.140625" style="2" customWidth="1"/>
    <col min="3" max="4" width="12.85546875" style="4" customWidth="1"/>
    <col min="5" max="5" width="33.140625" style="2" customWidth="1"/>
    <col min="6" max="6" width="14.42578125" style="2" customWidth="1"/>
    <col min="7" max="7" width="15" style="2" customWidth="1"/>
    <col min="8" max="8" width="17.28515625" style="2" hidden="1" customWidth="1"/>
    <col min="9" max="9" width="10.5703125" style="31" customWidth="1"/>
    <col min="10" max="10" width="11.7109375" style="2" hidden="1" customWidth="1"/>
    <col min="11" max="11" width="9.28515625" style="3" hidden="1" customWidth="1"/>
    <col min="12" max="12" width="24.7109375" style="2" customWidth="1"/>
    <col min="13" max="13" width="10.28515625" style="2" hidden="1" customWidth="1"/>
    <col min="14" max="14" width="19.7109375" style="1" customWidth="1"/>
    <col min="15" max="15" width="31.28515625" style="2" customWidth="1"/>
    <col min="16" max="16" width="11.85546875" style="4" bestFit="1" customWidth="1"/>
    <col min="17" max="17" width="9.28515625" style="2" customWidth="1"/>
    <col min="18" max="18" width="8.7109375" style="3" customWidth="1"/>
    <col min="19" max="19" width="11.7109375" style="2" customWidth="1"/>
    <col min="20" max="21" width="14" style="2" customWidth="1"/>
    <col min="22" max="16384" width="14.42578125" style="2"/>
  </cols>
  <sheetData>
    <row r="1" spans="1:21" ht="15.75" customHeight="1">
      <c r="A1" s="2" t="s">
        <v>470</v>
      </c>
      <c r="B1" s="2" t="s">
        <v>0</v>
      </c>
      <c r="C1" s="4" t="s">
        <v>1</v>
      </c>
      <c r="D1" s="4" t="s">
        <v>2</v>
      </c>
      <c r="E1" s="2" t="s">
        <v>3</v>
      </c>
      <c r="F1" s="2" t="s">
        <v>19</v>
      </c>
      <c r="G1" s="2" t="s">
        <v>5</v>
      </c>
      <c r="H1" s="2" t="s">
        <v>6</v>
      </c>
      <c r="I1" s="29" t="s">
        <v>473</v>
      </c>
      <c r="J1" s="2" t="s">
        <v>7</v>
      </c>
      <c r="K1" s="3" t="s">
        <v>8</v>
      </c>
      <c r="L1" s="28" t="s">
        <v>9</v>
      </c>
      <c r="M1" s="2" t="s">
        <v>10</v>
      </c>
      <c r="N1" s="10" t="s">
        <v>474</v>
      </c>
      <c r="O1" s="2" t="s">
        <v>11</v>
      </c>
      <c r="P1" s="4" t="s">
        <v>12</v>
      </c>
      <c r="Q1" s="2" t="s">
        <v>13</v>
      </c>
      <c r="R1" s="3" t="s">
        <v>14</v>
      </c>
      <c r="S1" s="2" t="s">
        <v>15</v>
      </c>
      <c r="T1" s="2" t="s">
        <v>16</v>
      </c>
      <c r="U1" s="2" t="s">
        <v>17</v>
      </c>
    </row>
    <row r="2" spans="1:21" ht="17.25" customHeight="1">
      <c r="A2" s="19" t="s">
        <v>353</v>
      </c>
      <c r="B2" s="15"/>
      <c r="C2" s="25">
        <v>46022</v>
      </c>
      <c r="D2" s="25">
        <v>45688</v>
      </c>
      <c r="E2" s="16" t="s">
        <v>138</v>
      </c>
      <c r="F2" s="14" t="str">
        <f>IF(E2="","",_xlfn.XLOOKUP(E2,取引先!B:B,取引先!A:A))</f>
        <v>LC-0008</v>
      </c>
      <c r="G2" s="19" t="s">
        <v>407</v>
      </c>
      <c r="H2" s="19" t="s">
        <v>354</v>
      </c>
      <c r="I2" s="30"/>
      <c r="J2" s="19" t="s">
        <v>355</v>
      </c>
      <c r="K2" s="20"/>
      <c r="L2" s="19"/>
      <c r="M2" s="20"/>
      <c r="N2" s="19" t="s">
        <v>553</v>
      </c>
      <c r="O2" s="11" t="s">
        <v>174</v>
      </c>
      <c r="P2" s="6"/>
      <c r="R2" s="7"/>
    </row>
    <row r="3" spans="1:21" ht="15.75" customHeight="1">
      <c r="A3" s="20"/>
      <c r="B3" s="15"/>
      <c r="C3" s="25">
        <v>46022</v>
      </c>
      <c r="D3" s="25">
        <v>45688</v>
      </c>
      <c r="E3" s="16" t="s">
        <v>138</v>
      </c>
      <c r="F3" s="14" t="str">
        <f>IF(E3="","",_xlfn.XLOOKUP(E3,取引先!B:B,取引先!A:A))</f>
        <v>LC-0008</v>
      </c>
      <c r="G3" s="19" t="s">
        <v>407</v>
      </c>
      <c r="H3" s="19" t="s">
        <v>354</v>
      </c>
      <c r="I3" s="30"/>
      <c r="J3" s="19" t="s">
        <v>355</v>
      </c>
      <c r="K3" s="20"/>
      <c r="L3" s="19"/>
      <c r="M3" s="20"/>
      <c r="N3" s="19" t="s">
        <v>478</v>
      </c>
      <c r="O3" s="11" t="s">
        <v>174</v>
      </c>
      <c r="P3" s="6"/>
      <c r="R3" s="7"/>
    </row>
    <row r="4" spans="1:21" ht="15.75" customHeight="1">
      <c r="A4" s="20"/>
      <c r="B4" s="15"/>
      <c r="C4" s="25">
        <v>46022</v>
      </c>
      <c r="D4" s="25">
        <v>45688</v>
      </c>
      <c r="E4" s="16" t="s">
        <v>138</v>
      </c>
      <c r="F4" s="14" t="str">
        <f>IF(E4="","",_xlfn.XLOOKUP(E4,取引先!B:B,取引先!A:A))</f>
        <v>LC-0008</v>
      </c>
      <c r="G4" s="19" t="s">
        <v>407</v>
      </c>
      <c r="H4" s="19" t="s">
        <v>354</v>
      </c>
      <c r="I4" s="30"/>
      <c r="J4" s="19" t="s">
        <v>355</v>
      </c>
      <c r="K4" s="20"/>
      <c r="L4" s="19"/>
      <c r="M4" s="20"/>
      <c r="N4" s="19" t="s">
        <v>552</v>
      </c>
      <c r="O4" s="11" t="s">
        <v>174</v>
      </c>
      <c r="P4" s="6"/>
      <c r="R4" s="7"/>
    </row>
    <row r="5" spans="1:21" ht="15.75" customHeight="1">
      <c r="A5" s="20"/>
      <c r="B5" s="15"/>
      <c r="C5" s="25">
        <v>46022</v>
      </c>
      <c r="D5" s="25">
        <v>45688</v>
      </c>
      <c r="E5" s="16" t="s">
        <v>138</v>
      </c>
      <c r="F5" s="14" t="str">
        <f>IF(E5="","",_xlfn.XLOOKUP(E5,取引先!B:B,取引先!A:A))</f>
        <v>LC-0008</v>
      </c>
      <c r="G5" s="19" t="s">
        <v>407</v>
      </c>
      <c r="H5" s="19" t="s">
        <v>354</v>
      </c>
      <c r="I5" s="30"/>
      <c r="J5" s="19" t="s">
        <v>355</v>
      </c>
      <c r="K5" s="20"/>
      <c r="L5" s="19"/>
      <c r="M5" s="20"/>
      <c r="N5" s="19" t="s">
        <v>479</v>
      </c>
      <c r="O5" s="11" t="s">
        <v>174</v>
      </c>
      <c r="P5" s="6"/>
      <c r="R5" s="7"/>
    </row>
    <row r="6" spans="1:21" ht="15.75" customHeight="1">
      <c r="A6" s="20"/>
      <c r="B6" s="15"/>
      <c r="C6" s="25">
        <v>46022</v>
      </c>
      <c r="D6" s="25">
        <v>45688</v>
      </c>
      <c r="E6" s="16" t="s">
        <v>138</v>
      </c>
      <c r="F6" s="14" t="str">
        <f>IF(E6="","",_xlfn.XLOOKUP(E6,取引先!B:B,取引先!A:A))</f>
        <v>LC-0008</v>
      </c>
      <c r="G6" s="19" t="s">
        <v>407</v>
      </c>
      <c r="H6" s="19" t="s">
        <v>354</v>
      </c>
      <c r="I6" s="30"/>
      <c r="J6" s="19" t="s">
        <v>355</v>
      </c>
      <c r="K6" s="20"/>
      <c r="L6" s="19"/>
      <c r="M6" s="20"/>
      <c r="N6" s="19" t="s">
        <v>483</v>
      </c>
      <c r="O6" s="11" t="s">
        <v>174</v>
      </c>
      <c r="P6" s="6"/>
      <c r="R6" s="7"/>
    </row>
    <row r="7" spans="1:21" ht="15.75" customHeight="1">
      <c r="A7" s="20"/>
      <c r="B7" s="15"/>
      <c r="C7" s="25">
        <v>46022</v>
      </c>
      <c r="D7" s="25">
        <v>45688</v>
      </c>
      <c r="E7" s="16" t="s">
        <v>138</v>
      </c>
      <c r="F7" s="14" t="str">
        <f>IF(E7="","",_xlfn.XLOOKUP(E7,取引先!B:B,取引先!A:A))</f>
        <v>LC-0008</v>
      </c>
      <c r="G7" s="19" t="s">
        <v>407</v>
      </c>
      <c r="H7" s="19" t="s">
        <v>354</v>
      </c>
      <c r="I7" s="30"/>
      <c r="J7" s="19" t="s">
        <v>355</v>
      </c>
      <c r="K7" s="20"/>
      <c r="L7" s="19"/>
      <c r="M7" s="20"/>
      <c r="N7" s="19" t="s">
        <v>554</v>
      </c>
      <c r="O7" s="11" t="s">
        <v>174</v>
      </c>
      <c r="P7" s="6"/>
      <c r="R7" s="7"/>
    </row>
    <row r="8" spans="1:21" ht="15.75" customHeight="1">
      <c r="A8" s="20"/>
      <c r="B8" s="15"/>
      <c r="C8" s="25">
        <v>46022</v>
      </c>
      <c r="D8" s="25">
        <v>45688</v>
      </c>
      <c r="E8" s="16" t="s">
        <v>138</v>
      </c>
      <c r="F8" s="14" t="str">
        <f>IF(E8="","",_xlfn.XLOOKUP(E8,取引先!B:B,取引先!A:A))</f>
        <v>LC-0008</v>
      </c>
      <c r="G8" s="19" t="s">
        <v>407</v>
      </c>
      <c r="H8" s="19" t="s">
        <v>354</v>
      </c>
      <c r="I8" s="30"/>
      <c r="J8" s="19" t="s">
        <v>355</v>
      </c>
      <c r="K8" s="20"/>
      <c r="L8" s="19"/>
      <c r="M8" s="20"/>
      <c r="N8" s="19" t="s">
        <v>484</v>
      </c>
      <c r="O8" s="11" t="s">
        <v>174</v>
      </c>
      <c r="P8" s="6"/>
      <c r="R8" s="7"/>
    </row>
    <row r="9" spans="1:21" ht="15.75" customHeight="1">
      <c r="A9" s="19"/>
      <c r="B9" s="15"/>
      <c r="C9" s="25">
        <v>46022</v>
      </c>
      <c r="D9" s="25">
        <v>45688</v>
      </c>
      <c r="E9" s="16" t="s">
        <v>138</v>
      </c>
      <c r="F9" s="14" t="str">
        <f>IF(E9="","",_xlfn.XLOOKUP(E9,取引先!B:B,取引先!A:A))</f>
        <v>LC-0008</v>
      </c>
      <c r="G9" s="19" t="s">
        <v>407</v>
      </c>
      <c r="H9" s="19" t="s">
        <v>354</v>
      </c>
      <c r="I9" s="30"/>
      <c r="J9" s="19" t="s">
        <v>355</v>
      </c>
      <c r="K9" s="20"/>
      <c r="L9" s="19"/>
      <c r="M9" s="20"/>
      <c r="N9" s="19" t="s">
        <v>485</v>
      </c>
      <c r="O9" s="11" t="s">
        <v>174</v>
      </c>
      <c r="P9" s="6"/>
      <c r="R9" s="7"/>
    </row>
    <row r="10" spans="1:21" ht="15.75" customHeight="1">
      <c r="A10" s="20"/>
      <c r="B10" s="15"/>
      <c r="C10" s="25">
        <v>46022</v>
      </c>
      <c r="D10" s="25">
        <v>45688</v>
      </c>
      <c r="E10" s="16" t="s">
        <v>138</v>
      </c>
      <c r="F10" s="14" t="str">
        <f>IF(E10="","",_xlfn.XLOOKUP(E10,取引先!B:B,取引先!A:A))</f>
        <v>LC-0008</v>
      </c>
      <c r="G10" s="19" t="s">
        <v>407</v>
      </c>
      <c r="H10" s="19" t="s">
        <v>354</v>
      </c>
      <c r="I10" s="30"/>
      <c r="J10" s="19" t="s">
        <v>355</v>
      </c>
      <c r="K10" s="20"/>
      <c r="L10" s="19"/>
      <c r="M10" s="20"/>
      <c r="N10" s="19" t="s">
        <v>555</v>
      </c>
      <c r="O10" s="11" t="s">
        <v>174</v>
      </c>
      <c r="P10" s="6"/>
      <c r="R10" s="7"/>
    </row>
    <row r="11" spans="1:21" ht="15.75" customHeight="1">
      <c r="A11" s="20"/>
      <c r="B11" s="15"/>
      <c r="C11" s="25">
        <v>46022</v>
      </c>
      <c r="D11" s="25">
        <v>45688</v>
      </c>
      <c r="E11" s="16" t="s">
        <v>138</v>
      </c>
      <c r="F11" s="14" t="str">
        <f>IF(E11="","",_xlfn.XLOOKUP(E11,取引先!B:B,取引先!A:A))</f>
        <v>LC-0008</v>
      </c>
      <c r="G11" s="19" t="s">
        <v>407</v>
      </c>
      <c r="H11" s="19" t="s">
        <v>354</v>
      </c>
      <c r="I11" s="30"/>
      <c r="J11" s="19" t="s">
        <v>355</v>
      </c>
      <c r="K11" s="20"/>
      <c r="L11" s="19"/>
      <c r="M11" s="20"/>
      <c r="N11" s="19" t="s">
        <v>481</v>
      </c>
      <c r="O11" s="11" t="s">
        <v>174</v>
      </c>
      <c r="P11" s="6"/>
      <c r="R11" s="7"/>
    </row>
    <row r="12" spans="1:21" ht="15.75" customHeight="1">
      <c r="A12" s="20"/>
      <c r="B12" s="15"/>
      <c r="C12" s="25">
        <v>46022</v>
      </c>
      <c r="D12" s="25">
        <v>45688</v>
      </c>
      <c r="E12" s="16" t="s">
        <v>138</v>
      </c>
      <c r="F12" s="14" t="str">
        <f>IF(E12="","",_xlfn.XLOOKUP(E12,取引先!B:B,取引先!A:A))</f>
        <v>LC-0008</v>
      </c>
      <c r="G12" s="19" t="s">
        <v>407</v>
      </c>
      <c r="H12" s="19" t="s">
        <v>354</v>
      </c>
      <c r="I12" s="30"/>
      <c r="J12" s="19" t="s">
        <v>355</v>
      </c>
      <c r="K12" s="20"/>
      <c r="L12" s="19"/>
      <c r="M12" s="20"/>
      <c r="N12" s="19" t="s">
        <v>556</v>
      </c>
      <c r="O12" s="11" t="s">
        <v>174</v>
      </c>
      <c r="P12" s="6"/>
      <c r="R12" s="7"/>
    </row>
    <row r="13" spans="1:21" ht="15.75" customHeight="1">
      <c r="A13" s="20"/>
      <c r="B13" s="15"/>
      <c r="C13" s="25">
        <v>46022</v>
      </c>
      <c r="D13" s="25">
        <v>45688</v>
      </c>
      <c r="E13" s="16" t="s">
        <v>138</v>
      </c>
      <c r="F13" s="14" t="str">
        <f>IF(E13="","",_xlfn.XLOOKUP(E13,取引先!B:B,取引先!A:A))</f>
        <v>LC-0008</v>
      </c>
      <c r="G13" s="19" t="s">
        <v>407</v>
      </c>
      <c r="H13" s="19" t="s">
        <v>354</v>
      </c>
      <c r="I13" s="30"/>
      <c r="J13" s="19" t="s">
        <v>355</v>
      </c>
      <c r="K13" s="20"/>
      <c r="L13" s="19"/>
      <c r="M13" s="20"/>
      <c r="N13" s="19" t="s">
        <v>487</v>
      </c>
      <c r="O13" s="11" t="s">
        <v>174</v>
      </c>
      <c r="P13" s="6"/>
      <c r="R13" s="7"/>
    </row>
    <row r="14" spans="1:21" ht="15.75" customHeight="1">
      <c r="A14" s="20"/>
      <c r="B14" s="15"/>
      <c r="C14" s="25">
        <v>46022</v>
      </c>
      <c r="D14" s="25">
        <v>45688</v>
      </c>
      <c r="E14" s="16" t="s">
        <v>138</v>
      </c>
      <c r="F14" s="14" t="str">
        <f>IF(E14="","",_xlfn.XLOOKUP(E14,取引先!B:B,取引先!A:A))</f>
        <v>LC-0008</v>
      </c>
      <c r="G14" s="19" t="s">
        <v>407</v>
      </c>
      <c r="H14" s="19" t="s">
        <v>354</v>
      </c>
      <c r="I14" s="30"/>
      <c r="J14" s="19" t="s">
        <v>355</v>
      </c>
      <c r="K14" s="20"/>
      <c r="L14" s="19"/>
      <c r="M14" s="20"/>
      <c r="N14" s="19" t="s">
        <v>557</v>
      </c>
      <c r="O14" s="11" t="s">
        <v>174</v>
      </c>
      <c r="P14" s="6"/>
      <c r="R14" s="7"/>
    </row>
    <row r="15" spans="1:21" ht="15.75" customHeight="1">
      <c r="A15" s="20"/>
      <c r="B15" s="15"/>
      <c r="C15" s="25">
        <v>46022</v>
      </c>
      <c r="D15" s="25">
        <v>45688</v>
      </c>
      <c r="E15" s="16" t="s">
        <v>138</v>
      </c>
      <c r="F15" s="14" t="str">
        <f>IF(E15="","",_xlfn.XLOOKUP(E15,取引先!B:B,取引先!A:A))</f>
        <v>LC-0008</v>
      </c>
      <c r="G15" s="19" t="s">
        <v>407</v>
      </c>
      <c r="H15" s="19" t="s">
        <v>354</v>
      </c>
      <c r="I15" s="30"/>
      <c r="J15" s="19" t="s">
        <v>355</v>
      </c>
      <c r="K15" s="20"/>
      <c r="L15" s="19"/>
      <c r="M15" s="20"/>
      <c r="N15" s="19" t="s">
        <v>488</v>
      </c>
      <c r="O15" s="11" t="s">
        <v>174</v>
      </c>
      <c r="P15" s="6"/>
      <c r="R15" s="8"/>
      <c r="U15" s="5"/>
    </row>
    <row r="16" spans="1:21" ht="15.75" customHeight="1">
      <c r="A16" s="20"/>
      <c r="B16" s="15"/>
      <c r="C16" s="25">
        <v>46022</v>
      </c>
      <c r="D16" s="25">
        <v>45688</v>
      </c>
      <c r="E16" s="16" t="s">
        <v>138</v>
      </c>
      <c r="F16" s="14" t="str">
        <f>IF(E16="","",_xlfn.XLOOKUP(E16,取引先!B:B,取引先!A:A))</f>
        <v>LC-0008</v>
      </c>
      <c r="G16" s="19" t="s">
        <v>407</v>
      </c>
      <c r="H16" s="19" t="s">
        <v>354</v>
      </c>
      <c r="I16" s="30"/>
      <c r="J16" s="19" t="s">
        <v>355</v>
      </c>
      <c r="K16" s="20"/>
      <c r="L16" s="19"/>
      <c r="M16" s="20"/>
      <c r="N16" s="19" t="s">
        <v>558</v>
      </c>
      <c r="O16" s="11" t="s">
        <v>174</v>
      </c>
      <c r="P16" s="6"/>
      <c r="Q16" s="5"/>
      <c r="R16" s="9"/>
      <c r="U16" s="5"/>
    </row>
    <row r="17" spans="1:21" ht="15.75" customHeight="1">
      <c r="A17" s="19"/>
      <c r="B17" s="15"/>
      <c r="C17" s="25">
        <v>46022</v>
      </c>
      <c r="D17" s="25">
        <v>45688</v>
      </c>
      <c r="E17" s="16" t="s">
        <v>138</v>
      </c>
      <c r="F17" s="14" t="str">
        <f>IF(E17="","",_xlfn.XLOOKUP(E17,取引先!B:B,取引先!A:A))</f>
        <v>LC-0008</v>
      </c>
      <c r="G17" s="19" t="s">
        <v>407</v>
      </c>
      <c r="H17" s="19" t="s">
        <v>354</v>
      </c>
      <c r="I17" s="30"/>
      <c r="J17" s="19" t="s">
        <v>355</v>
      </c>
      <c r="K17" s="20"/>
      <c r="L17" s="19"/>
      <c r="M17" s="20"/>
      <c r="N17" s="19" t="s">
        <v>559</v>
      </c>
      <c r="O17" s="11" t="s">
        <v>174</v>
      </c>
      <c r="P17" s="6"/>
      <c r="Q17" s="5"/>
      <c r="R17" s="9"/>
      <c r="U17" s="5"/>
    </row>
    <row r="18" spans="1:21" ht="15.75" customHeight="1">
      <c r="A18" s="20"/>
      <c r="B18" s="15"/>
      <c r="C18" s="25">
        <v>46022</v>
      </c>
      <c r="D18" s="25">
        <v>45688</v>
      </c>
      <c r="E18" s="16" t="s">
        <v>138</v>
      </c>
      <c r="F18" s="14" t="str">
        <f>IF(E18="","",_xlfn.XLOOKUP(E18,取引先!B:B,取引先!A:A))</f>
        <v>LC-0008</v>
      </c>
      <c r="G18" s="19" t="s">
        <v>407</v>
      </c>
      <c r="H18" s="19" t="s">
        <v>354</v>
      </c>
      <c r="I18" s="30"/>
      <c r="J18" s="19" t="s">
        <v>355</v>
      </c>
      <c r="K18" s="20"/>
      <c r="L18" s="19"/>
      <c r="M18" s="20"/>
      <c r="N18" s="19" t="s">
        <v>491</v>
      </c>
      <c r="O18" s="11" t="s">
        <v>174</v>
      </c>
      <c r="P18" s="6"/>
      <c r="Q18" s="5"/>
      <c r="R18" s="9"/>
      <c r="U18" s="5"/>
    </row>
    <row r="19" spans="1:21" ht="15.75" customHeight="1">
      <c r="A19" s="20"/>
      <c r="B19" s="15"/>
      <c r="C19" s="25">
        <v>46022</v>
      </c>
      <c r="D19" s="25">
        <v>45688</v>
      </c>
      <c r="E19" s="16" t="s">
        <v>138</v>
      </c>
      <c r="F19" s="14" t="str">
        <f>IF(E19="","",_xlfn.XLOOKUP(E19,取引先!B:B,取引先!A:A))</f>
        <v>LC-0008</v>
      </c>
      <c r="G19" s="19" t="s">
        <v>407</v>
      </c>
      <c r="H19" s="19" t="s">
        <v>354</v>
      </c>
      <c r="I19" s="30"/>
      <c r="J19" s="19" t="s">
        <v>355</v>
      </c>
      <c r="K19" s="20"/>
      <c r="L19" s="19"/>
      <c r="M19" s="20"/>
      <c r="N19" s="19" t="s">
        <v>560</v>
      </c>
      <c r="O19" s="11" t="s">
        <v>174</v>
      </c>
      <c r="P19" s="6"/>
      <c r="Q19" s="5"/>
      <c r="R19" s="9"/>
      <c r="U19" s="5"/>
    </row>
    <row r="20" spans="1:21" ht="15.75" customHeight="1">
      <c r="A20" s="20"/>
      <c r="B20" s="15"/>
      <c r="C20" s="25">
        <v>46022</v>
      </c>
      <c r="D20" s="25">
        <v>45688</v>
      </c>
      <c r="E20" s="16" t="s">
        <v>138</v>
      </c>
      <c r="F20" s="14" t="str">
        <f>IF(E20="","",_xlfn.XLOOKUP(E20,取引先!B:B,取引先!A:A))</f>
        <v>LC-0008</v>
      </c>
      <c r="G20" s="19" t="s">
        <v>407</v>
      </c>
      <c r="H20" s="19" t="s">
        <v>354</v>
      </c>
      <c r="I20" s="30"/>
      <c r="J20" s="19" t="s">
        <v>355</v>
      </c>
      <c r="K20" s="20"/>
      <c r="L20" s="19"/>
      <c r="M20" s="20"/>
      <c r="N20" s="19" t="s">
        <v>561</v>
      </c>
      <c r="O20" s="11" t="s">
        <v>174</v>
      </c>
      <c r="P20" s="6"/>
      <c r="Q20" s="5"/>
      <c r="R20" s="9"/>
      <c r="U20" s="5"/>
    </row>
    <row r="21" spans="1:21" ht="15.75" customHeight="1">
      <c r="A21" s="20"/>
      <c r="B21" s="15"/>
      <c r="C21" s="25">
        <v>46022</v>
      </c>
      <c r="D21" s="25">
        <v>45688</v>
      </c>
      <c r="E21" s="16" t="s">
        <v>138</v>
      </c>
      <c r="F21" s="14" t="str">
        <f>IF(E21="","",_xlfn.XLOOKUP(E21,取引先!B:B,取引先!A:A))</f>
        <v>LC-0008</v>
      </c>
      <c r="G21" s="19" t="s">
        <v>407</v>
      </c>
      <c r="H21" s="19" t="s">
        <v>354</v>
      </c>
      <c r="I21" s="30"/>
      <c r="J21" s="19" t="s">
        <v>355</v>
      </c>
      <c r="K21" s="20"/>
      <c r="L21" s="19"/>
      <c r="M21" s="20"/>
      <c r="N21" s="19" t="s">
        <v>494</v>
      </c>
      <c r="O21" s="11" t="s">
        <v>174</v>
      </c>
      <c r="P21" s="6"/>
      <c r="Q21" s="5"/>
      <c r="R21" s="9"/>
      <c r="S21" s="5"/>
      <c r="T21" s="5"/>
    </row>
    <row r="22" spans="1:21" ht="15.75" customHeight="1">
      <c r="A22" s="21"/>
      <c r="B22" s="15"/>
      <c r="C22" s="25">
        <v>46022</v>
      </c>
      <c r="D22" s="25">
        <v>45688</v>
      </c>
      <c r="E22" s="16" t="s">
        <v>138</v>
      </c>
      <c r="F22" s="14" t="str">
        <f>IF(E22="","",_xlfn.XLOOKUP(E22,取引先!B:B,取引先!A:A))</f>
        <v>LC-0008</v>
      </c>
      <c r="G22" s="19" t="s">
        <v>407</v>
      </c>
      <c r="H22" s="22" t="s">
        <v>354</v>
      </c>
      <c r="I22" s="30"/>
      <c r="J22" s="22" t="s">
        <v>355</v>
      </c>
      <c r="K22" s="23"/>
      <c r="L22" s="19"/>
      <c r="M22" s="21"/>
      <c r="N22" s="19" t="s">
        <v>562</v>
      </c>
      <c r="O22" s="11" t="s">
        <v>174</v>
      </c>
      <c r="P22" s="6"/>
      <c r="Q22" s="5"/>
      <c r="R22" s="9"/>
      <c r="S22" s="5"/>
      <c r="T22" s="5"/>
    </row>
    <row r="23" spans="1:21" ht="15.75" customHeight="1">
      <c r="A23" s="14"/>
      <c r="B23" s="15"/>
      <c r="C23" s="25">
        <v>46022</v>
      </c>
      <c r="D23" s="25">
        <v>45688</v>
      </c>
      <c r="E23" s="16" t="s">
        <v>138</v>
      </c>
      <c r="F23" s="14" t="str">
        <f>IF(E23="","",_xlfn.XLOOKUP(E23,取引先!B:B,取引先!A:A))</f>
        <v>LC-0008</v>
      </c>
      <c r="G23" s="19" t="s">
        <v>407</v>
      </c>
      <c r="H23" s="22" t="s">
        <v>354</v>
      </c>
      <c r="I23" s="30"/>
      <c r="J23" s="14" t="s">
        <v>355</v>
      </c>
      <c r="K23" s="12"/>
      <c r="L23" s="19"/>
      <c r="M23" s="13"/>
      <c r="N23" s="19" t="s">
        <v>490</v>
      </c>
      <c r="O23" s="11" t="s">
        <v>174</v>
      </c>
      <c r="P23" s="6"/>
      <c r="R23" s="8"/>
      <c r="U23" s="5"/>
    </row>
    <row r="24" spans="1:21" ht="15.75" customHeight="1">
      <c r="A24" s="20"/>
      <c r="B24" s="15"/>
      <c r="C24" s="25">
        <v>46022</v>
      </c>
      <c r="D24" s="25">
        <v>45688</v>
      </c>
      <c r="E24" s="16" t="s">
        <v>138</v>
      </c>
      <c r="F24" s="14" t="str">
        <f>IF(E24="","",_xlfn.XLOOKUP(E24,取引先!B:B,取引先!A:A))</f>
        <v>LC-0008</v>
      </c>
      <c r="G24" s="19" t="s">
        <v>407</v>
      </c>
      <c r="H24" s="19" t="s">
        <v>354</v>
      </c>
      <c r="I24" s="30"/>
      <c r="J24" s="19" t="s">
        <v>355</v>
      </c>
      <c r="K24" s="20"/>
      <c r="L24" s="19"/>
      <c r="M24" s="20"/>
      <c r="N24" s="19" t="s">
        <v>563</v>
      </c>
      <c r="O24" s="11" t="s">
        <v>174</v>
      </c>
      <c r="P24" s="6"/>
      <c r="Q24" s="5"/>
      <c r="R24" s="9"/>
      <c r="U24" s="5"/>
    </row>
    <row r="25" spans="1:21" ht="15.75" customHeight="1">
      <c r="A25" s="19"/>
      <c r="B25" s="15"/>
      <c r="C25" s="25">
        <v>46022</v>
      </c>
      <c r="D25" s="25">
        <v>45688</v>
      </c>
      <c r="E25" s="16" t="s">
        <v>138</v>
      </c>
      <c r="F25" s="14" t="str">
        <f>IF(E25="","",_xlfn.XLOOKUP(E25,取引先!B:B,取引先!A:A))</f>
        <v>LC-0008</v>
      </c>
      <c r="G25" s="19" t="s">
        <v>407</v>
      </c>
      <c r="H25" s="19" t="s">
        <v>354</v>
      </c>
      <c r="I25" s="30"/>
      <c r="J25" s="19" t="s">
        <v>355</v>
      </c>
      <c r="K25" s="20"/>
      <c r="L25" s="19"/>
      <c r="M25" s="20"/>
      <c r="N25" s="19" t="s">
        <v>564</v>
      </c>
      <c r="O25" s="11" t="s">
        <v>174</v>
      </c>
      <c r="P25" s="6"/>
      <c r="Q25" s="5"/>
      <c r="R25" s="9"/>
      <c r="U25" s="5"/>
    </row>
    <row r="26" spans="1:21" ht="15.75" customHeight="1">
      <c r="A26" s="20"/>
      <c r="B26" s="15"/>
      <c r="C26" s="25">
        <v>46022</v>
      </c>
      <c r="D26" s="25">
        <v>45688</v>
      </c>
      <c r="E26" s="16" t="s">
        <v>138</v>
      </c>
      <c r="F26" s="14" t="str">
        <f>IF(E26="","",_xlfn.XLOOKUP(E26,取引先!B:B,取引先!A:A))</f>
        <v>LC-0008</v>
      </c>
      <c r="G26" s="19" t="s">
        <v>407</v>
      </c>
      <c r="H26" s="19" t="s">
        <v>354</v>
      </c>
      <c r="I26" s="30"/>
      <c r="J26" s="19" t="s">
        <v>355</v>
      </c>
      <c r="K26" s="20"/>
      <c r="L26" s="19"/>
      <c r="M26" s="20"/>
      <c r="N26" s="19" t="s">
        <v>493</v>
      </c>
      <c r="O26" s="11" t="s">
        <v>174</v>
      </c>
      <c r="P26" s="6"/>
      <c r="Q26" s="5"/>
      <c r="R26" s="9"/>
      <c r="U26" s="5"/>
    </row>
    <row r="27" spans="1:21" ht="15.75" customHeight="1">
      <c r="A27" s="20"/>
      <c r="B27" s="15"/>
      <c r="C27" s="25">
        <v>46022</v>
      </c>
      <c r="D27" s="25">
        <v>45688</v>
      </c>
      <c r="E27" s="16" t="s">
        <v>138</v>
      </c>
      <c r="F27" s="14" t="str">
        <f>IF(E27="","",_xlfn.XLOOKUP(E27,取引先!B:B,取引先!A:A))</f>
        <v>LC-0008</v>
      </c>
      <c r="G27" s="19" t="s">
        <v>407</v>
      </c>
      <c r="H27" s="19" t="s">
        <v>354</v>
      </c>
      <c r="I27" s="30"/>
      <c r="J27" s="19" t="s">
        <v>355</v>
      </c>
      <c r="K27" s="20"/>
      <c r="L27" s="19"/>
      <c r="M27" s="20"/>
      <c r="N27" s="19" t="s">
        <v>480</v>
      </c>
      <c r="O27" s="11" t="s">
        <v>174</v>
      </c>
      <c r="P27" s="6"/>
      <c r="Q27" s="5"/>
      <c r="R27" s="9"/>
      <c r="U27" s="5"/>
    </row>
    <row r="28" spans="1:21" ht="15.75" customHeight="1">
      <c r="A28" s="20"/>
      <c r="B28" s="15"/>
      <c r="C28" s="25">
        <v>46022</v>
      </c>
      <c r="D28" s="25">
        <v>45688</v>
      </c>
      <c r="E28" s="16" t="s">
        <v>138</v>
      </c>
      <c r="F28" s="14" t="str">
        <f>IF(E28="","",_xlfn.XLOOKUP(E28,取引先!B:B,取引先!A:A))</f>
        <v>LC-0008</v>
      </c>
      <c r="G28" s="19" t="s">
        <v>407</v>
      </c>
      <c r="H28" s="19" t="s">
        <v>354</v>
      </c>
      <c r="I28" s="30"/>
      <c r="J28" s="19" t="s">
        <v>355</v>
      </c>
      <c r="K28" s="20"/>
      <c r="L28" s="19"/>
      <c r="M28" s="20"/>
      <c r="N28" s="19" t="s">
        <v>489</v>
      </c>
      <c r="O28" s="11" t="s">
        <v>174</v>
      </c>
      <c r="P28" s="6"/>
      <c r="Q28" s="5"/>
      <c r="R28" s="9"/>
      <c r="U28" s="5"/>
    </row>
    <row r="29" spans="1:21" ht="15.75" customHeight="1">
      <c r="A29" s="20"/>
      <c r="B29" s="15"/>
      <c r="C29" s="25">
        <v>46022</v>
      </c>
      <c r="D29" s="25">
        <v>45688</v>
      </c>
      <c r="E29" s="16" t="s">
        <v>138</v>
      </c>
      <c r="F29" s="14" t="str">
        <f>IF(E29="","",_xlfn.XLOOKUP(E29,取引先!B:B,取引先!A:A))</f>
        <v>LC-0008</v>
      </c>
      <c r="G29" s="19" t="s">
        <v>407</v>
      </c>
      <c r="H29" s="19" t="s">
        <v>354</v>
      </c>
      <c r="I29" s="30"/>
      <c r="J29" s="19" t="s">
        <v>355</v>
      </c>
      <c r="K29" s="20"/>
      <c r="L29" s="19"/>
      <c r="M29" s="20"/>
      <c r="N29" s="19" t="s">
        <v>565</v>
      </c>
      <c r="O29" s="11" t="s">
        <v>174</v>
      </c>
      <c r="P29" s="6"/>
      <c r="Q29" s="5"/>
      <c r="R29" s="9"/>
      <c r="U29" s="5"/>
    </row>
    <row r="30" spans="1:21" ht="15.75" customHeight="1">
      <c r="A30" s="20"/>
      <c r="B30" s="15"/>
      <c r="C30" s="25">
        <v>46022</v>
      </c>
      <c r="D30" s="25">
        <v>45688</v>
      </c>
      <c r="E30" s="16" t="s">
        <v>138</v>
      </c>
      <c r="F30" s="14" t="str">
        <f>IF(E30="","",_xlfn.XLOOKUP(E30,取引先!B:B,取引先!A:A))</f>
        <v>LC-0008</v>
      </c>
      <c r="G30" s="19" t="s">
        <v>407</v>
      </c>
      <c r="H30" s="19" t="s">
        <v>354</v>
      </c>
      <c r="I30" s="30"/>
      <c r="J30" s="19" t="s">
        <v>355</v>
      </c>
      <c r="K30" s="20"/>
      <c r="L30" s="19"/>
      <c r="M30" s="20"/>
      <c r="N30" s="19" t="s">
        <v>476</v>
      </c>
      <c r="O30" s="11" t="s">
        <v>174</v>
      </c>
      <c r="P30" s="6"/>
      <c r="Q30" s="5"/>
      <c r="R30" s="9"/>
      <c r="U30" s="5"/>
    </row>
    <row r="31" spans="1:21" ht="15.75" customHeight="1">
      <c r="A31" s="20"/>
      <c r="B31" s="15"/>
      <c r="C31" s="25">
        <v>46022</v>
      </c>
      <c r="D31" s="25">
        <v>45688</v>
      </c>
      <c r="E31" s="16" t="s">
        <v>138</v>
      </c>
      <c r="F31" s="14" t="str">
        <f>IF(E31="","",_xlfn.XLOOKUP(E31,取引先!B:B,取引先!A:A))</f>
        <v>LC-0008</v>
      </c>
      <c r="G31" s="19" t="s">
        <v>407</v>
      </c>
      <c r="H31" s="19" t="s">
        <v>354</v>
      </c>
      <c r="I31" s="30"/>
      <c r="J31" s="19" t="s">
        <v>355</v>
      </c>
      <c r="K31" s="20"/>
      <c r="L31" s="19"/>
      <c r="M31" s="20"/>
      <c r="N31" s="19" t="s">
        <v>476</v>
      </c>
      <c r="O31" s="11" t="s">
        <v>174</v>
      </c>
      <c r="P31" s="6"/>
      <c r="Q31" s="5"/>
      <c r="R31" s="9"/>
      <c r="U31" s="5"/>
    </row>
    <row r="32" spans="1:21" ht="15.75" customHeight="1">
      <c r="A32" s="20"/>
      <c r="B32" s="15"/>
      <c r="C32" s="25">
        <v>46022</v>
      </c>
      <c r="D32" s="25">
        <v>45688</v>
      </c>
      <c r="E32" s="16" t="s">
        <v>138</v>
      </c>
      <c r="F32" s="14" t="str">
        <f>IF(E32="","",_xlfn.XLOOKUP(E32,取引先!B:B,取引先!A:A))</f>
        <v>LC-0008</v>
      </c>
      <c r="G32" s="19" t="s">
        <v>407</v>
      </c>
      <c r="H32" s="19" t="s">
        <v>354</v>
      </c>
      <c r="I32" s="30"/>
      <c r="J32" s="19" t="s">
        <v>355</v>
      </c>
      <c r="K32" s="20"/>
      <c r="L32" s="19"/>
      <c r="M32" s="20"/>
      <c r="N32" s="19" t="s">
        <v>476</v>
      </c>
      <c r="O32" s="11" t="s">
        <v>174</v>
      </c>
      <c r="P32" s="6"/>
      <c r="Q32" s="5"/>
      <c r="R32" s="9"/>
      <c r="U32" s="5"/>
    </row>
    <row r="33" spans="1:21" ht="15.75" customHeight="1">
      <c r="A33" s="20"/>
      <c r="B33" s="15"/>
      <c r="C33" s="25">
        <v>46022</v>
      </c>
      <c r="D33" s="25">
        <v>45688</v>
      </c>
      <c r="E33" s="16" t="s">
        <v>138</v>
      </c>
      <c r="F33" s="14" t="str">
        <f>IF(E33="","",_xlfn.XLOOKUP(E33,取引先!B:B,取引先!A:A))</f>
        <v>LC-0008</v>
      </c>
      <c r="G33" s="19" t="s">
        <v>407</v>
      </c>
      <c r="H33" s="19" t="s">
        <v>354</v>
      </c>
      <c r="I33" s="30"/>
      <c r="J33" s="19" t="s">
        <v>355</v>
      </c>
      <c r="K33" s="20"/>
      <c r="L33" s="19"/>
      <c r="M33" s="20"/>
      <c r="N33" s="19" t="s">
        <v>476</v>
      </c>
      <c r="O33" s="11" t="s">
        <v>174</v>
      </c>
      <c r="P33" s="6"/>
      <c r="Q33" s="5"/>
      <c r="R33" s="9"/>
      <c r="U33" s="5"/>
    </row>
    <row r="34" spans="1:21" ht="15.75" customHeight="1">
      <c r="A34" s="19" t="s">
        <v>469</v>
      </c>
      <c r="B34" s="15"/>
      <c r="C34" s="25">
        <v>46022</v>
      </c>
      <c r="D34" s="25">
        <v>45682</v>
      </c>
      <c r="E34" s="19" t="s">
        <v>176</v>
      </c>
      <c r="F34" s="14" t="str">
        <f>IF(E34="","",_xlfn.XLOOKUP(E34,取引先!B:B,取引先!A:A))</f>
        <v>LC-0009</v>
      </c>
      <c r="G34" s="19" t="s">
        <v>408</v>
      </c>
      <c r="H34" s="19" t="s">
        <v>354</v>
      </c>
      <c r="I34" s="30">
        <v>3580</v>
      </c>
      <c r="J34" s="19" t="s">
        <v>355</v>
      </c>
      <c r="K34" s="20"/>
      <c r="L34" s="19" t="s">
        <v>500</v>
      </c>
      <c r="M34" s="20"/>
      <c r="N34" s="19" t="s">
        <v>313</v>
      </c>
      <c r="O34" s="11" t="s">
        <v>174</v>
      </c>
      <c r="R34" s="7"/>
    </row>
    <row r="35" spans="1:21" ht="15.75" customHeight="1">
      <c r="A35" s="19" t="s">
        <v>469</v>
      </c>
      <c r="B35" s="15"/>
      <c r="C35" s="25">
        <v>46022</v>
      </c>
      <c r="D35" s="25">
        <v>45682</v>
      </c>
      <c r="E35" s="19" t="s">
        <v>176</v>
      </c>
      <c r="F35" s="14" t="str">
        <f>IF(E35="","",_xlfn.XLOOKUP(E35,取引先!B:B,取引先!A:A))</f>
        <v>LC-0009</v>
      </c>
      <c r="G35" s="19" t="s">
        <v>408</v>
      </c>
      <c r="H35" s="19" t="s">
        <v>354</v>
      </c>
      <c r="I35" s="30">
        <v>10012</v>
      </c>
      <c r="J35" s="19" t="s">
        <v>355</v>
      </c>
      <c r="K35" s="20"/>
      <c r="L35" s="19" t="s">
        <v>501</v>
      </c>
      <c r="M35" s="20"/>
      <c r="N35" s="19" t="s">
        <v>313</v>
      </c>
      <c r="O35" s="11" t="s">
        <v>174</v>
      </c>
      <c r="R35" s="7"/>
    </row>
    <row r="36" spans="1:21" ht="15.75" customHeight="1">
      <c r="A36" s="19" t="s">
        <v>469</v>
      </c>
      <c r="B36" s="15"/>
      <c r="C36" s="25">
        <v>46022</v>
      </c>
      <c r="D36" s="25">
        <v>45682</v>
      </c>
      <c r="E36" s="19" t="s">
        <v>176</v>
      </c>
      <c r="F36" s="14" t="str">
        <f>IF(E36="","",_xlfn.XLOOKUP(E36,取引先!B:B,取引先!A:A))</f>
        <v>LC-0009</v>
      </c>
      <c r="G36" s="19" t="s">
        <v>408</v>
      </c>
      <c r="H36" s="19" t="s">
        <v>354</v>
      </c>
      <c r="I36" s="30">
        <v>5027</v>
      </c>
      <c r="J36" s="19" t="s">
        <v>355</v>
      </c>
      <c r="K36" s="20"/>
      <c r="L36" s="19" t="s">
        <v>503</v>
      </c>
      <c r="M36" s="20"/>
      <c r="N36" s="19" t="s">
        <v>310</v>
      </c>
      <c r="O36" s="11" t="s">
        <v>174</v>
      </c>
      <c r="R36" s="7"/>
    </row>
    <row r="37" spans="1:21" ht="15.75" customHeight="1">
      <c r="A37" s="19" t="s">
        <v>469</v>
      </c>
      <c r="B37" s="15"/>
      <c r="C37" s="25">
        <v>46022</v>
      </c>
      <c r="D37" s="25">
        <v>45682</v>
      </c>
      <c r="E37" s="19" t="s">
        <v>176</v>
      </c>
      <c r="F37" s="14" t="str">
        <f>IF(E37="","",_xlfn.XLOOKUP(E37,取引先!B:B,取引先!A:A))</f>
        <v>LC-0009</v>
      </c>
      <c r="G37" s="19" t="s">
        <v>408</v>
      </c>
      <c r="H37" s="19" t="s">
        <v>354</v>
      </c>
      <c r="I37" s="30">
        <v>7950</v>
      </c>
      <c r="J37" s="19" t="s">
        <v>355</v>
      </c>
      <c r="K37" s="20"/>
      <c r="L37" s="19" t="s">
        <v>504</v>
      </c>
      <c r="M37" s="20"/>
      <c r="N37" s="19" t="s">
        <v>310</v>
      </c>
      <c r="O37" s="11" t="s">
        <v>174</v>
      </c>
      <c r="R37" s="7"/>
    </row>
    <row r="38" spans="1:21" ht="15.75" customHeight="1">
      <c r="A38" s="19" t="s">
        <v>469</v>
      </c>
      <c r="B38" s="15"/>
      <c r="C38" s="25">
        <v>46022</v>
      </c>
      <c r="D38" s="25">
        <v>45682</v>
      </c>
      <c r="E38" s="19" t="s">
        <v>176</v>
      </c>
      <c r="F38" s="14" t="str">
        <f>IF(E38="","",_xlfn.XLOOKUP(E38,取引先!B:B,取引先!A:A))</f>
        <v>LC-0009</v>
      </c>
      <c r="G38" s="19" t="s">
        <v>408</v>
      </c>
      <c r="H38" s="19" t="s">
        <v>354</v>
      </c>
      <c r="I38" s="30">
        <v>5166</v>
      </c>
      <c r="J38" s="19" t="s">
        <v>355</v>
      </c>
      <c r="K38" s="20"/>
      <c r="L38" s="19" t="s">
        <v>516</v>
      </c>
      <c r="M38" s="20"/>
      <c r="N38" s="19" t="s">
        <v>311</v>
      </c>
      <c r="O38" s="11" t="s">
        <v>174</v>
      </c>
      <c r="R38" s="7"/>
    </row>
    <row r="39" spans="1:21" ht="15.75" customHeight="1">
      <c r="A39" s="19" t="s">
        <v>469</v>
      </c>
      <c r="B39" s="15"/>
      <c r="C39" s="25">
        <v>46022</v>
      </c>
      <c r="D39" s="25">
        <v>45682</v>
      </c>
      <c r="E39" s="19" t="s">
        <v>176</v>
      </c>
      <c r="F39" s="14" t="str">
        <f>IF(E39="","",_xlfn.XLOOKUP(E39,取引先!B:B,取引先!A:A))</f>
        <v>LC-0009</v>
      </c>
      <c r="G39" s="19" t="s">
        <v>408</v>
      </c>
      <c r="H39" s="19" t="s">
        <v>354</v>
      </c>
      <c r="I39" s="30">
        <v>24285</v>
      </c>
      <c r="J39" s="19" t="s">
        <v>355</v>
      </c>
      <c r="K39" s="20"/>
      <c r="L39" s="19" t="s">
        <v>505</v>
      </c>
      <c r="M39" s="20"/>
      <c r="N39" s="19" t="s">
        <v>551</v>
      </c>
      <c r="O39" s="11" t="s">
        <v>174</v>
      </c>
      <c r="R39" s="7"/>
    </row>
    <row r="40" spans="1:21" ht="15.75" customHeight="1">
      <c r="A40" s="19" t="s">
        <v>469</v>
      </c>
      <c r="B40" s="15"/>
      <c r="C40" s="25">
        <v>46022</v>
      </c>
      <c r="D40" s="25">
        <v>45682</v>
      </c>
      <c r="E40" s="19" t="s">
        <v>176</v>
      </c>
      <c r="F40" s="14" t="str">
        <f>IF(E40="","",_xlfn.XLOOKUP(E40,取引先!B:B,取引先!A:A))</f>
        <v>LC-0009</v>
      </c>
      <c r="G40" s="19" t="s">
        <v>408</v>
      </c>
      <c r="H40" s="19" t="s">
        <v>354</v>
      </c>
      <c r="I40" s="30">
        <v>1290</v>
      </c>
      <c r="J40" s="19" t="s">
        <v>355</v>
      </c>
      <c r="K40" s="20"/>
      <c r="L40" s="19" t="s">
        <v>517</v>
      </c>
      <c r="M40" s="20"/>
      <c r="N40" s="19" t="s">
        <v>316</v>
      </c>
      <c r="O40" s="11" t="s">
        <v>174</v>
      </c>
      <c r="R40" s="7"/>
    </row>
    <row r="41" spans="1:21" ht="15.75" customHeight="1">
      <c r="A41" s="19" t="s">
        <v>469</v>
      </c>
      <c r="B41" s="15"/>
      <c r="C41" s="25">
        <v>46022</v>
      </c>
      <c r="D41" s="25">
        <v>45682</v>
      </c>
      <c r="E41" s="19" t="s">
        <v>176</v>
      </c>
      <c r="F41" s="14" t="str">
        <f>IF(E41="","",_xlfn.XLOOKUP(E41,取引先!B:B,取引先!A:A))</f>
        <v>LC-0009</v>
      </c>
      <c r="G41" s="19" t="s">
        <v>408</v>
      </c>
      <c r="H41" s="19" t="s">
        <v>354</v>
      </c>
      <c r="I41" s="30">
        <v>5027</v>
      </c>
      <c r="J41" s="19" t="s">
        <v>355</v>
      </c>
      <c r="K41" s="20"/>
      <c r="L41" s="19" t="s">
        <v>502</v>
      </c>
      <c r="M41" s="20"/>
      <c r="N41" s="19" t="s">
        <v>316</v>
      </c>
      <c r="O41" s="11" t="s">
        <v>174</v>
      </c>
      <c r="R41" s="7"/>
    </row>
    <row r="42" spans="1:21" ht="15.75" customHeight="1">
      <c r="A42" s="19" t="s">
        <v>469</v>
      </c>
      <c r="B42" s="15"/>
      <c r="C42" s="25">
        <v>46022</v>
      </c>
      <c r="D42" s="25">
        <v>45682</v>
      </c>
      <c r="E42" s="19" t="s">
        <v>176</v>
      </c>
      <c r="F42" s="14" t="str">
        <f>IF(E42="","",_xlfn.XLOOKUP(E42,取引先!B:B,取引先!A:A))</f>
        <v>LC-0009</v>
      </c>
      <c r="G42" s="19" t="s">
        <v>408</v>
      </c>
      <c r="H42" s="19" t="s">
        <v>354</v>
      </c>
      <c r="I42" s="30">
        <v>9050</v>
      </c>
      <c r="J42" s="19" t="s">
        <v>355</v>
      </c>
      <c r="K42" s="20"/>
      <c r="L42" s="19" t="s">
        <v>518</v>
      </c>
      <c r="M42" s="20"/>
      <c r="N42" s="19" t="s">
        <v>550</v>
      </c>
      <c r="O42" s="11" t="s">
        <v>174</v>
      </c>
      <c r="R42" s="7"/>
    </row>
    <row r="43" spans="1:21" ht="15.75" customHeight="1">
      <c r="A43" s="19" t="s">
        <v>469</v>
      </c>
      <c r="B43" s="15"/>
      <c r="C43" s="25">
        <v>46022</v>
      </c>
      <c r="D43" s="25">
        <v>45682</v>
      </c>
      <c r="E43" s="19" t="s">
        <v>176</v>
      </c>
      <c r="F43" s="14" t="str">
        <f>IF(E43="","",_xlfn.XLOOKUP(E43,取引先!B:B,取引先!A:A))</f>
        <v>LC-0009</v>
      </c>
      <c r="G43" s="19" t="s">
        <v>408</v>
      </c>
      <c r="H43" s="19" t="s">
        <v>354</v>
      </c>
      <c r="I43" s="30">
        <v>3280</v>
      </c>
      <c r="J43" s="19" t="s">
        <v>355</v>
      </c>
      <c r="K43" s="24"/>
      <c r="L43" s="19" t="s">
        <v>519</v>
      </c>
      <c r="M43" s="20"/>
      <c r="N43" s="19" t="s">
        <v>550</v>
      </c>
      <c r="O43" s="11" t="s">
        <v>174</v>
      </c>
      <c r="R43" s="7"/>
    </row>
    <row r="44" spans="1:21" ht="15.75" customHeight="1">
      <c r="A44" s="19" t="s">
        <v>469</v>
      </c>
      <c r="B44" s="15"/>
      <c r="C44" s="25">
        <v>46022</v>
      </c>
      <c r="D44" s="25">
        <v>45682</v>
      </c>
      <c r="E44" s="19" t="s">
        <v>176</v>
      </c>
      <c r="F44" s="14" t="str">
        <f>IF(E44="","",_xlfn.XLOOKUP(E44,取引先!B:B,取引先!A:A))</f>
        <v>LC-0009</v>
      </c>
      <c r="G44" s="19" t="s">
        <v>408</v>
      </c>
      <c r="H44" s="19" t="s">
        <v>354</v>
      </c>
      <c r="I44" s="30">
        <v>5027</v>
      </c>
      <c r="J44" s="19" t="s">
        <v>355</v>
      </c>
      <c r="K44" s="27"/>
      <c r="L44" s="19" t="s">
        <v>505</v>
      </c>
      <c r="M44" s="20"/>
      <c r="N44" s="19" t="s">
        <v>483</v>
      </c>
      <c r="O44" s="11" t="s">
        <v>174</v>
      </c>
      <c r="R44" s="7"/>
    </row>
    <row r="45" spans="1:21" ht="15.75" customHeight="1">
      <c r="A45" s="19" t="s">
        <v>469</v>
      </c>
      <c r="B45" s="15"/>
      <c r="C45" s="25">
        <v>46022</v>
      </c>
      <c r="D45" s="25">
        <v>45682</v>
      </c>
      <c r="E45" s="19" t="s">
        <v>176</v>
      </c>
      <c r="F45" s="14" t="str">
        <f>IF(E45="","",_xlfn.XLOOKUP(E45,取引先!B:B,取引先!A:A))</f>
        <v>LC-0009</v>
      </c>
      <c r="G45" s="19" t="s">
        <v>408</v>
      </c>
      <c r="H45" s="19" t="s">
        <v>354</v>
      </c>
      <c r="I45" s="30">
        <v>986</v>
      </c>
      <c r="J45" s="19" t="s">
        <v>355</v>
      </c>
      <c r="K45" s="20"/>
      <c r="L45" s="19" t="s">
        <v>496</v>
      </c>
      <c r="M45" s="20"/>
      <c r="N45" s="19" t="s">
        <v>483</v>
      </c>
      <c r="O45" s="11" t="s">
        <v>174</v>
      </c>
      <c r="R45" s="7"/>
    </row>
    <row r="46" spans="1:21" ht="15.75" customHeight="1">
      <c r="A46" s="19" t="s">
        <v>469</v>
      </c>
      <c r="B46" s="15"/>
      <c r="C46" s="25">
        <v>46022</v>
      </c>
      <c r="D46" s="25">
        <v>45682</v>
      </c>
      <c r="E46" s="19" t="s">
        <v>176</v>
      </c>
      <c r="F46" s="14" t="str">
        <f>IF(E46="","",_xlfn.XLOOKUP(E46,取引先!B:B,取引先!A:A))</f>
        <v>LC-0009</v>
      </c>
      <c r="G46" s="19" t="s">
        <v>408</v>
      </c>
      <c r="H46" s="19" t="s">
        <v>354</v>
      </c>
      <c r="I46" s="30">
        <v>603</v>
      </c>
      <c r="J46" s="19" t="s">
        <v>355</v>
      </c>
      <c r="K46" s="20"/>
      <c r="L46" s="19" t="s">
        <v>513</v>
      </c>
      <c r="M46" s="20"/>
      <c r="N46" s="19" t="s">
        <v>483</v>
      </c>
      <c r="O46" s="11" t="s">
        <v>174</v>
      </c>
      <c r="R46" s="7"/>
    </row>
    <row r="47" spans="1:21" ht="15.75" customHeight="1">
      <c r="A47" s="19" t="s">
        <v>469</v>
      </c>
      <c r="B47" s="15"/>
      <c r="C47" s="25">
        <v>46022</v>
      </c>
      <c r="D47" s="25">
        <v>45682</v>
      </c>
      <c r="E47" s="19" t="s">
        <v>176</v>
      </c>
      <c r="F47" s="14" t="str">
        <f>IF(E47="","",_xlfn.XLOOKUP(E47,取引先!B:B,取引先!A:A))</f>
        <v>LC-0009</v>
      </c>
      <c r="G47" s="19" t="s">
        <v>408</v>
      </c>
      <c r="H47" s="19" t="s">
        <v>354</v>
      </c>
      <c r="I47" s="30">
        <v>5071</v>
      </c>
      <c r="J47" s="19" t="s">
        <v>355</v>
      </c>
      <c r="K47" s="20"/>
      <c r="L47" s="19" t="s">
        <v>497</v>
      </c>
      <c r="M47" s="20"/>
      <c r="N47" s="19" t="s">
        <v>484</v>
      </c>
      <c r="O47" s="11" t="s">
        <v>174</v>
      </c>
      <c r="R47" s="7"/>
    </row>
    <row r="48" spans="1:21" ht="15.75" customHeight="1">
      <c r="A48" s="19" t="s">
        <v>469</v>
      </c>
      <c r="B48" s="15"/>
      <c r="C48" s="25">
        <v>46022</v>
      </c>
      <c r="D48" s="25">
        <v>45682</v>
      </c>
      <c r="E48" s="19" t="s">
        <v>176</v>
      </c>
      <c r="F48" s="14" t="str">
        <f>IF(E48="","",_xlfn.XLOOKUP(E48,取引先!B:B,取引先!A:A))</f>
        <v>LC-0009</v>
      </c>
      <c r="G48" s="19" t="s">
        <v>408</v>
      </c>
      <c r="H48" s="19" t="s">
        <v>354</v>
      </c>
      <c r="I48" s="30">
        <v>16532</v>
      </c>
      <c r="J48" s="19" t="s">
        <v>355</v>
      </c>
      <c r="K48" s="20"/>
      <c r="L48" s="19" t="s">
        <v>505</v>
      </c>
      <c r="M48" s="20"/>
      <c r="N48" s="19" t="s">
        <v>314</v>
      </c>
      <c r="O48" s="11" t="s">
        <v>174</v>
      </c>
      <c r="R48" s="7"/>
    </row>
    <row r="49" spans="1:18" ht="15.75" customHeight="1">
      <c r="A49" s="19" t="s">
        <v>469</v>
      </c>
      <c r="B49" s="15"/>
      <c r="C49" s="25">
        <v>46022</v>
      </c>
      <c r="D49" s="25">
        <v>45682</v>
      </c>
      <c r="E49" s="19" t="s">
        <v>176</v>
      </c>
      <c r="F49" s="14" t="str">
        <f>IF(E49="","",_xlfn.XLOOKUP(E49,取引先!B:B,取引先!A:A))</f>
        <v>LC-0009</v>
      </c>
      <c r="G49" s="19" t="s">
        <v>408</v>
      </c>
      <c r="H49" s="19" t="s">
        <v>354</v>
      </c>
      <c r="I49" s="30">
        <v>5027</v>
      </c>
      <c r="J49" s="19" t="s">
        <v>355</v>
      </c>
      <c r="K49" s="20"/>
      <c r="L49" s="19" t="s">
        <v>505</v>
      </c>
      <c r="M49" s="20"/>
      <c r="N49" s="19" t="s">
        <v>486</v>
      </c>
      <c r="O49" s="11" t="s">
        <v>174</v>
      </c>
      <c r="P49" s="6"/>
      <c r="R49" s="7"/>
    </row>
    <row r="50" spans="1:18" ht="15.75" customHeight="1">
      <c r="A50" s="19" t="s">
        <v>469</v>
      </c>
      <c r="B50" s="15"/>
      <c r="C50" s="25">
        <v>46022</v>
      </c>
      <c r="D50" s="25">
        <v>45682</v>
      </c>
      <c r="E50" s="19" t="s">
        <v>176</v>
      </c>
      <c r="F50" s="14" t="str">
        <f>IF(E50="","",_xlfn.XLOOKUP(E50,取引先!B:B,取引先!A:A))</f>
        <v>LC-0009</v>
      </c>
      <c r="G50" s="19" t="s">
        <v>408</v>
      </c>
      <c r="H50" s="19" t="s">
        <v>354</v>
      </c>
      <c r="I50" s="30">
        <v>3580</v>
      </c>
      <c r="J50" s="19" t="s">
        <v>355</v>
      </c>
      <c r="K50" s="20"/>
      <c r="L50" s="19" t="s">
        <v>500</v>
      </c>
      <c r="M50" s="20"/>
      <c r="N50" s="19" t="s">
        <v>315</v>
      </c>
      <c r="O50" s="11" t="s">
        <v>174</v>
      </c>
      <c r="P50" s="6"/>
      <c r="R50" s="7"/>
    </row>
    <row r="51" spans="1:18" ht="15.75" customHeight="1">
      <c r="A51" s="19" t="s">
        <v>469</v>
      </c>
      <c r="B51" s="15"/>
      <c r="C51" s="25">
        <v>46022</v>
      </c>
      <c r="D51" s="25">
        <v>45682</v>
      </c>
      <c r="E51" s="19" t="s">
        <v>176</v>
      </c>
      <c r="F51" s="14" t="str">
        <f>IF(E51="","",_xlfn.XLOOKUP(E51,取引先!B:B,取引先!A:A))</f>
        <v>LC-0009</v>
      </c>
      <c r="G51" s="19" t="s">
        <v>408</v>
      </c>
      <c r="H51" s="19" t="s">
        <v>354</v>
      </c>
      <c r="I51" s="30">
        <v>3580</v>
      </c>
      <c r="J51" s="19" t="s">
        <v>355</v>
      </c>
      <c r="K51" s="26"/>
      <c r="L51" s="19" t="s">
        <v>500</v>
      </c>
      <c r="M51" s="20"/>
      <c r="N51" s="19" t="s">
        <v>315</v>
      </c>
      <c r="O51" s="11" t="s">
        <v>174</v>
      </c>
      <c r="P51" s="6"/>
      <c r="R51" s="7"/>
    </row>
    <row r="52" spans="1:18" ht="15.75" customHeight="1">
      <c r="A52" s="19" t="s">
        <v>469</v>
      </c>
      <c r="B52" s="15"/>
      <c r="C52" s="25">
        <v>46022</v>
      </c>
      <c r="D52" s="25">
        <v>45682</v>
      </c>
      <c r="E52" s="19" t="s">
        <v>176</v>
      </c>
      <c r="F52" s="14" t="str">
        <f>IF(E52="","",_xlfn.XLOOKUP(E52,取引先!B:B,取引先!A:A))</f>
        <v>LC-0009</v>
      </c>
      <c r="G52" s="19" t="s">
        <v>408</v>
      </c>
      <c r="H52" s="19" t="s">
        <v>354</v>
      </c>
      <c r="I52" s="30">
        <v>767</v>
      </c>
      <c r="J52" s="19" t="s">
        <v>355</v>
      </c>
      <c r="K52" s="20"/>
      <c r="L52" s="19" t="s">
        <v>506</v>
      </c>
      <c r="M52" s="20"/>
      <c r="N52" s="19" t="s">
        <v>499</v>
      </c>
      <c r="O52" s="11" t="s">
        <v>174</v>
      </c>
      <c r="P52" s="6"/>
      <c r="R52" s="7"/>
    </row>
    <row r="53" spans="1:18" ht="15.75" customHeight="1">
      <c r="A53" s="19" t="s">
        <v>469</v>
      </c>
      <c r="B53" s="15"/>
      <c r="C53" s="25">
        <v>46022</v>
      </c>
      <c r="D53" s="25">
        <v>45682</v>
      </c>
      <c r="E53" s="19" t="s">
        <v>176</v>
      </c>
      <c r="F53" s="14" t="str">
        <f>IF(E53="","",_xlfn.XLOOKUP(E53,取引先!B:B,取引先!A:A))</f>
        <v>LC-0009</v>
      </c>
      <c r="G53" s="19" t="s">
        <v>408</v>
      </c>
      <c r="H53" s="19" t="s">
        <v>354</v>
      </c>
      <c r="I53" s="30">
        <v>1898</v>
      </c>
      <c r="J53" s="19" t="s">
        <v>355</v>
      </c>
      <c r="K53" s="20"/>
      <c r="L53" s="19" t="s">
        <v>514</v>
      </c>
      <c r="M53" s="20"/>
      <c r="N53" s="19" t="s">
        <v>313</v>
      </c>
      <c r="O53" s="11" t="s">
        <v>174</v>
      </c>
      <c r="P53" s="6"/>
      <c r="R53" s="7"/>
    </row>
    <row r="54" spans="1:18" ht="15.75" customHeight="1">
      <c r="A54" s="19" t="s">
        <v>469</v>
      </c>
      <c r="B54" s="15"/>
      <c r="C54" s="25">
        <v>46022</v>
      </c>
      <c r="D54" s="25">
        <v>45682</v>
      </c>
      <c r="E54" s="19" t="s">
        <v>176</v>
      </c>
      <c r="F54" s="14" t="str">
        <f>IF(E54="","",_xlfn.XLOOKUP(E54,取引先!B:B,取引先!A:A))</f>
        <v>LC-0009</v>
      </c>
      <c r="G54" s="19" t="s">
        <v>408</v>
      </c>
      <c r="H54" s="19" t="s">
        <v>354</v>
      </c>
      <c r="I54" s="30">
        <v>3245</v>
      </c>
      <c r="J54" s="19" t="s">
        <v>355</v>
      </c>
      <c r="K54" s="20"/>
      <c r="L54" s="19" t="s">
        <v>507</v>
      </c>
      <c r="M54" s="20"/>
      <c r="N54" s="19" t="s">
        <v>313</v>
      </c>
      <c r="O54" s="11" t="s">
        <v>174</v>
      </c>
      <c r="P54" s="6"/>
      <c r="R54" s="7"/>
    </row>
    <row r="55" spans="1:18" ht="15.75" customHeight="1">
      <c r="A55" s="19" t="s">
        <v>469</v>
      </c>
      <c r="B55" s="15"/>
      <c r="C55" s="25">
        <v>46022</v>
      </c>
      <c r="D55" s="25">
        <v>45682</v>
      </c>
      <c r="E55" s="19" t="s">
        <v>176</v>
      </c>
      <c r="F55" s="14" t="str">
        <f>IF(E55="","",_xlfn.XLOOKUP(E55,取引先!B:B,取引先!A:A))</f>
        <v>LC-0009</v>
      </c>
      <c r="G55" s="19" t="s">
        <v>408</v>
      </c>
      <c r="H55" s="19" t="s">
        <v>354</v>
      </c>
      <c r="I55" s="30">
        <v>2180</v>
      </c>
      <c r="J55" s="19" t="s">
        <v>355</v>
      </c>
      <c r="K55" s="20"/>
      <c r="L55" s="19" t="s">
        <v>515</v>
      </c>
      <c r="M55" s="20"/>
      <c r="N55" s="19" t="s">
        <v>485</v>
      </c>
      <c r="O55" s="11" t="s">
        <v>174</v>
      </c>
      <c r="P55" s="6"/>
      <c r="R55" s="7"/>
    </row>
    <row r="56" spans="1:18" ht="15.75" customHeight="1">
      <c r="A56" s="19" t="s">
        <v>469</v>
      </c>
      <c r="B56" s="15"/>
      <c r="C56" s="25">
        <v>46022</v>
      </c>
      <c r="D56" s="25">
        <v>45682</v>
      </c>
      <c r="E56" s="19" t="s">
        <v>176</v>
      </c>
      <c r="F56" s="14" t="str">
        <f>IF(E56="","",_xlfn.XLOOKUP(E56,取引先!B:B,取引先!A:A))</f>
        <v>LC-0009</v>
      </c>
      <c r="G56" s="19" t="s">
        <v>408</v>
      </c>
      <c r="H56" s="19" t="s">
        <v>354</v>
      </c>
      <c r="I56" s="30">
        <v>2595</v>
      </c>
      <c r="J56" s="19" t="s">
        <v>355</v>
      </c>
      <c r="K56" s="20"/>
      <c r="L56" s="19" t="s">
        <v>508</v>
      </c>
      <c r="M56" s="20"/>
      <c r="N56" s="19" t="s">
        <v>499</v>
      </c>
      <c r="O56" s="11" t="s">
        <v>174</v>
      </c>
      <c r="P56" s="6"/>
      <c r="R56" s="7"/>
    </row>
    <row r="57" spans="1:18" ht="15.75" customHeight="1">
      <c r="A57" s="19" t="s">
        <v>469</v>
      </c>
      <c r="B57" s="15"/>
      <c r="C57" s="25">
        <v>46022</v>
      </c>
      <c r="D57" s="25">
        <v>45682</v>
      </c>
      <c r="E57" s="19" t="s">
        <v>176</v>
      </c>
      <c r="F57" s="14" t="str">
        <f>IF(E57="","",_xlfn.XLOOKUP(E57,取引先!B:B,取引先!A:A))</f>
        <v>LC-0009</v>
      </c>
      <c r="G57" s="19" t="s">
        <v>408</v>
      </c>
      <c r="H57" s="19" t="s">
        <v>354</v>
      </c>
      <c r="I57" s="30">
        <v>3597</v>
      </c>
      <c r="J57" s="19" t="s">
        <v>355</v>
      </c>
      <c r="K57" s="20"/>
      <c r="L57" s="19" t="s">
        <v>509</v>
      </c>
      <c r="M57" s="20"/>
      <c r="N57" s="19" t="s">
        <v>499</v>
      </c>
      <c r="O57" s="11" t="s">
        <v>174</v>
      </c>
      <c r="P57" s="6"/>
      <c r="R57" s="7"/>
    </row>
    <row r="58" spans="1:18" ht="15.75" customHeight="1">
      <c r="A58" s="19" t="s">
        <v>469</v>
      </c>
      <c r="B58" s="15"/>
      <c r="C58" s="25">
        <v>46022</v>
      </c>
      <c r="D58" s="25">
        <v>45682</v>
      </c>
      <c r="E58" s="19" t="s">
        <v>176</v>
      </c>
      <c r="F58" s="14" t="str">
        <f>IF(E58="","",_xlfn.XLOOKUP(E58,取引先!B:B,取引先!A:A))</f>
        <v>LC-0009</v>
      </c>
      <c r="G58" s="19" t="s">
        <v>408</v>
      </c>
      <c r="H58" s="19" t="s">
        <v>354</v>
      </c>
      <c r="I58" s="30">
        <v>2146</v>
      </c>
      <c r="J58" s="19" t="s">
        <v>355</v>
      </c>
      <c r="K58" s="20"/>
      <c r="L58" s="19" t="s">
        <v>510</v>
      </c>
      <c r="M58" s="20"/>
      <c r="N58" s="19" t="s">
        <v>499</v>
      </c>
      <c r="O58" s="11" t="s">
        <v>174</v>
      </c>
      <c r="P58" s="6"/>
      <c r="R58" s="7"/>
    </row>
    <row r="59" spans="1:18" ht="15.75" customHeight="1">
      <c r="A59" s="19" t="s">
        <v>469</v>
      </c>
      <c r="B59" s="15"/>
      <c r="C59" s="25">
        <v>46022</v>
      </c>
      <c r="D59" s="25">
        <v>45682</v>
      </c>
      <c r="E59" s="19" t="s">
        <v>176</v>
      </c>
      <c r="F59" s="14" t="str">
        <f>IF(E59="","",_xlfn.XLOOKUP(E59,取引先!B:B,取引先!A:A))</f>
        <v>LC-0009</v>
      </c>
      <c r="G59" s="19" t="s">
        <v>408</v>
      </c>
      <c r="H59" s="19" t="s">
        <v>354</v>
      </c>
      <c r="I59" s="30">
        <v>2389</v>
      </c>
      <c r="J59" s="19" t="s">
        <v>355</v>
      </c>
      <c r="K59" s="20"/>
      <c r="L59" s="19" t="s">
        <v>511</v>
      </c>
      <c r="M59" s="20"/>
      <c r="N59" s="19" t="s">
        <v>499</v>
      </c>
      <c r="O59" s="11" t="s">
        <v>174</v>
      </c>
      <c r="P59" s="6"/>
      <c r="R59" s="7"/>
    </row>
    <row r="60" spans="1:18" ht="15.75" customHeight="1">
      <c r="A60" s="19" t="s">
        <v>469</v>
      </c>
      <c r="B60" s="15"/>
      <c r="C60" s="25">
        <v>46022</v>
      </c>
      <c r="D60" s="25">
        <v>45682</v>
      </c>
      <c r="E60" s="19" t="s">
        <v>176</v>
      </c>
      <c r="F60" s="14" t="str">
        <f>IF(E60="","",_xlfn.XLOOKUP(E60,取引先!B:B,取引先!A:A))</f>
        <v>LC-0009</v>
      </c>
      <c r="G60" s="19" t="s">
        <v>408</v>
      </c>
      <c r="H60" s="19" t="s">
        <v>354</v>
      </c>
      <c r="I60" s="30">
        <v>3288</v>
      </c>
      <c r="J60" s="19" t="s">
        <v>355</v>
      </c>
      <c r="K60" s="20"/>
      <c r="L60" s="19" t="s">
        <v>512</v>
      </c>
      <c r="M60" s="20"/>
      <c r="N60" s="19" t="s">
        <v>481</v>
      </c>
      <c r="O60" s="11" t="s">
        <v>174</v>
      </c>
      <c r="P60" s="6"/>
      <c r="R60" s="7"/>
    </row>
    <row r="61" spans="1:18" ht="15.75" customHeight="1">
      <c r="A61" s="19" t="s">
        <v>469</v>
      </c>
      <c r="B61" s="15"/>
      <c r="C61" s="25">
        <v>46022</v>
      </c>
      <c r="D61" s="25">
        <v>45682</v>
      </c>
      <c r="E61" s="19" t="s">
        <v>176</v>
      </c>
      <c r="F61" s="14" t="str">
        <f>IF(E61="","",_xlfn.XLOOKUP(E61,取引先!B:B,取引先!A:A))</f>
        <v>LC-0009</v>
      </c>
      <c r="G61" s="19" t="s">
        <v>408</v>
      </c>
      <c r="H61" s="19" t="s">
        <v>354</v>
      </c>
      <c r="I61" s="30">
        <v>3394</v>
      </c>
      <c r="J61" s="19" t="s">
        <v>355</v>
      </c>
      <c r="K61" s="20"/>
      <c r="L61" s="19" t="s">
        <v>520</v>
      </c>
      <c r="M61" s="20"/>
      <c r="N61" s="19" t="s">
        <v>316</v>
      </c>
      <c r="O61" s="11" t="s">
        <v>174</v>
      </c>
      <c r="P61" s="6"/>
      <c r="R61" s="7"/>
    </row>
    <row r="62" spans="1:18" ht="15.75" customHeight="1">
      <c r="A62" s="19" t="s">
        <v>469</v>
      </c>
      <c r="B62" s="15"/>
      <c r="C62" s="25">
        <v>46022</v>
      </c>
      <c r="D62" s="25">
        <v>45682</v>
      </c>
      <c r="E62" s="19" t="s">
        <v>176</v>
      </c>
      <c r="F62" s="14" t="str">
        <f>IF(E62="","",_xlfn.XLOOKUP(E62,取引先!B:B,取引先!A:A))</f>
        <v>LC-0009</v>
      </c>
      <c r="G62" s="19" t="s">
        <v>408</v>
      </c>
      <c r="H62" s="19" t="s">
        <v>354</v>
      </c>
      <c r="I62" s="30">
        <v>3012</v>
      </c>
      <c r="J62" s="19" t="s">
        <v>355</v>
      </c>
      <c r="K62" s="20"/>
      <c r="L62" s="19" t="s">
        <v>521</v>
      </c>
      <c r="M62" s="20"/>
      <c r="N62" s="19" t="s">
        <v>316</v>
      </c>
      <c r="O62" s="11" t="s">
        <v>174</v>
      </c>
      <c r="P62" s="6"/>
      <c r="R62" s="7"/>
    </row>
    <row r="63" spans="1:18" ht="15.75" customHeight="1">
      <c r="A63" s="19" t="s">
        <v>469</v>
      </c>
      <c r="B63" s="15"/>
      <c r="C63" s="25">
        <v>46022</v>
      </c>
      <c r="D63" s="25">
        <v>45682</v>
      </c>
      <c r="E63" s="19" t="s">
        <v>471</v>
      </c>
      <c r="F63" s="14" t="str">
        <f>IF(E63="","",_xlfn.XLOOKUP(E63,取引先!B:B,取引先!A:A))</f>
        <v>LC-0009</v>
      </c>
      <c r="G63" s="19" t="s">
        <v>408</v>
      </c>
      <c r="H63" s="19" t="s">
        <v>354</v>
      </c>
      <c r="I63" s="30">
        <v>1144</v>
      </c>
      <c r="J63" s="19" t="s">
        <v>355</v>
      </c>
      <c r="K63" s="20"/>
      <c r="L63" s="19" t="s">
        <v>522</v>
      </c>
      <c r="M63" s="20"/>
      <c r="N63" s="19" t="s">
        <v>316</v>
      </c>
      <c r="O63" s="11" t="s">
        <v>174</v>
      </c>
      <c r="P63" s="6"/>
      <c r="R63" s="7"/>
    </row>
    <row r="64" spans="1:18" ht="15.75" customHeight="1">
      <c r="A64" s="19" t="s">
        <v>469</v>
      </c>
      <c r="B64" s="15"/>
      <c r="C64" s="25">
        <v>46022</v>
      </c>
      <c r="D64" s="25">
        <v>45682</v>
      </c>
      <c r="E64" s="19" t="s">
        <v>471</v>
      </c>
      <c r="F64" s="14" t="str">
        <f>IF(E64="","",_xlfn.XLOOKUP(E64,取引先!B:B,取引先!A:A))</f>
        <v>LC-0009</v>
      </c>
      <c r="G64" s="19" t="s">
        <v>408</v>
      </c>
      <c r="H64" s="19" t="s">
        <v>354</v>
      </c>
      <c r="I64" s="30">
        <v>7950</v>
      </c>
      <c r="J64" s="19" t="s">
        <v>355</v>
      </c>
      <c r="K64" s="20"/>
      <c r="L64" s="19" t="s">
        <v>504</v>
      </c>
      <c r="M64" s="20"/>
      <c r="N64" s="19" t="s">
        <v>478</v>
      </c>
      <c r="O64" s="11" t="s">
        <v>174</v>
      </c>
      <c r="P64" s="6"/>
      <c r="R64" s="7"/>
    </row>
    <row r="65" spans="1:18" ht="15.75" customHeight="1">
      <c r="A65" s="19" t="s">
        <v>469</v>
      </c>
      <c r="B65" s="15"/>
      <c r="C65" s="25">
        <v>46022</v>
      </c>
      <c r="D65" s="25">
        <v>45682</v>
      </c>
      <c r="E65" s="19" t="s">
        <v>471</v>
      </c>
      <c r="F65" s="14" t="str">
        <f>IF(E65="","",_xlfn.XLOOKUP(E65,取引先!B:B,取引先!A:A))</f>
        <v>LC-0009</v>
      </c>
      <c r="G65" s="19" t="s">
        <v>408</v>
      </c>
      <c r="H65" s="19" t="s">
        <v>354</v>
      </c>
      <c r="I65" s="30">
        <v>1290</v>
      </c>
      <c r="J65" s="19" t="s">
        <v>355</v>
      </c>
      <c r="K65" s="20"/>
      <c r="L65" s="19" t="s">
        <v>523</v>
      </c>
      <c r="M65" s="20"/>
      <c r="N65" s="19" t="s">
        <v>481</v>
      </c>
      <c r="O65" s="11" t="s">
        <v>174</v>
      </c>
      <c r="P65" s="6"/>
      <c r="R65" s="7"/>
    </row>
    <row r="66" spans="1:18" ht="15.75" customHeight="1">
      <c r="A66" s="19" t="s">
        <v>469</v>
      </c>
      <c r="B66" s="15"/>
      <c r="C66" s="25">
        <v>46022</v>
      </c>
      <c r="D66" s="25">
        <v>45682</v>
      </c>
      <c r="E66" s="19" t="s">
        <v>471</v>
      </c>
      <c r="F66" s="14" t="str">
        <f>IF(E66="","",_xlfn.XLOOKUP(E66,取引先!B:B,取引先!A:A))</f>
        <v>LC-0009</v>
      </c>
      <c r="G66" s="19" t="s">
        <v>408</v>
      </c>
      <c r="H66" s="19" t="s">
        <v>354</v>
      </c>
      <c r="I66" s="30">
        <v>5071</v>
      </c>
      <c r="J66" s="19" t="s">
        <v>355</v>
      </c>
      <c r="K66" s="20"/>
      <c r="L66" s="19" t="s">
        <v>524</v>
      </c>
      <c r="M66" s="20"/>
      <c r="N66" s="19" t="s">
        <v>484</v>
      </c>
      <c r="O66" s="11" t="s">
        <v>174</v>
      </c>
      <c r="P66" s="6"/>
      <c r="R66" s="7"/>
    </row>
    <row r="67" spans="1:18" ht="15.75" customHeight="1">
      <c r="A67" s="19" t="s">
        <v>469</v>
      </c>
      <c r="B67" s="15"/>
      <c r="C67" s="25">
        <v>46022</v>
      </c>
      <c r="D67" s="25">
        <v>45682</v>
      </c>
      <c r="E67" s="19" t="s">
        <v>471</v>
      </c>
      <c r="F67" s="14" t="str">
        <f>IF(E67="","",_xlfn.XLOOKUP(E67,取引先!B:B,取引先!A:A))</f>
        <v>LC-0009</v>
      </c>
      <c r="G67" s="19" t="s">
        <v>408</v>
      </c>
      <c r="H67" s="19" t="s">
        <v>354</v>
      </c>
      <c r="I67" s="30">
        <v>4510</v>
      </c>
      <c r="J67" s="19" t="s">
        <v>355</v>
      </c>
      <c r="K67" s="20"/>
      <c r="L67" s="19" t="s">
        <v>525</v>
      </c>
      <c r="M67" s="20"/>
      <c r="N67" s="19" t="s">
        <v>487</v>
      </c>
      <c r="O67" s="11" t="s">
        <v>174</v>
      </c>
      <c r="P67" s="6"/>
      <c r="R67" s="7"/>
    </row>
    <row r="68" spans="1:18" ht="15.75" customHeight="1">
      <c r="A68" s="19" t="s">
        <v>469</v>
      </c>
      <c r="B68" s="15"/>
      <c r="C68" s="25">
        <v>46022</v>
      </c>
      <c r="D68" s="25">
        <v>45682</v>
      </c>
      <c r="E68" s="19" t="s">
        <v>471</v>
      </c>
      <c r="F68" s="14" t="str">
        <f>IF(E68="","",_xlfn.XLOOKUP(E68,取引先!B:B,取引先!A:A))</f>
        <v>LC-0009</v>
      </c>
      <c r="G68" s="19" t="s">
        <v>408</v>
      </c>
      <c r="H68" s="19" t="s">
        <v>354</v>
      </c>
      <c r="I68" s="30">
        <v>5027</v>
      </c>
      <c r="J68" s="19" t="s">
        <v>355</v>
      </c>
      <c r="K68" s="20"/>
      <c r="L68" s="19" t="s">
        <v>526</v>
      </c>
      <c r="M68" s="20"/>
      <c r="N68" s="19" t="s">
        <v>482</v>
      </c>
      <c r="O68" s="11" t="s">
        <v>174</v>
      </c>
      <c r="P68" s="6"/>
      <c r="R68" s="7"/>
    </row>
    <row r="69" spans="1:18" ht="15.75" customHeight="1">
      <c r="A69" s="19" t="s">
        <v>469</v>
      </c>
      <c r="B69" s="15"/>
      <c r="C69" s="25">
        <v>46022</v>
      </c>
      <c r="D69" s="25">
        <v>45682</v>
      </c>
      <c r="E69" s="19" t="s">
        <v>472</v>
      </c>
      <c r="F69" s="14" t="str">
        <f>IF(E69="","",_xlfn.XLOOKUP(E69,取引先!B:B,取引先!A:A))</f>
        <v>LC-0001</v>
      </c>
      <c r="G69" s="19" t="s">
        <v>408</v>
      </c>
      <c r="H69" s="19" t="s">
        <v>354</v>
      </c>
      <c r="I69" s="30">
        <v>5371</v>
      </c>
      <c r="J69" s="19" t="s">
        <v>355</v>
      </c>
      <c r="K69" s="20"/>
      <c r="L69" s="19" t="s">
        <v>529</v>
      </c>
      <c r="M69" s="20"/>
      <c r="N69" s="19" t="s">
        <v>312</v>
      </c>
      <c r="O69" s="11" t="s">
        <v>174</v>
      </c>
      <c r="P69" s="6"/>
      <c r="R69" s="7"/>
    </row>
    <row r="70" spans="1:18" ht="15.75" customHeight="1">
      <c r="A70" s="19" t="s">
        <v>469</v>
      </c>
      <c r="B70" s="15"/>
      <c r="C70" s="25">
        <v>46022</v>
      </c>
      <c r="D70" s="25">
        <v>45682</v>
      </c>
      <c r="E70" s="19" t="s">
        <v>472</v>
      </c>
      <c r="F70" s="14" t="str">
        <f>IF(E70="","",_xlfn.XLOOKUP(E70,取引先!B:B,取引先!A:A))</f>
        <v>LC-0001</v>
      </c>
      <c r="G70" s="19" t="s">
        <v>408</v>
      </c>
      <c r="H70" s="19" t="s">
        <v>354</v>
      </c>
      <c r="I70" s="30" t="s">
        <v>531</v>
      </c>
      <c r="J70" s="19" t="s">
        <v>355</v>
      </c>
      <c r="K70" s="20"/>
      <c r="L70" s="19" t="s">
        <v>530</v>
      </c>
      <c r="M70" s="20"/>
      <c r="N70" s="19" t="s">
        <v>493</v>
      </c>
      <c r="O70" s="11" t="s">
        <v>174</v>
      </c>
      <c r="P70" s="6"/>
      <c r="R70" s="7"/>
    </row>
    <row r="71" spans="1:18" ht="15.75" customHeight="1">
      <c r="A71" s="19" t="s">
        <v>469</v>
      </c>
      <c r="B71" s="15"/>
      <c r="C71" s="25">
        <v>46022</v>
      </c>
      <c r="D71" s="25">
        <v>45682</v>
      </c>
      <c r="E71" s="19" t="s">
        <v>472</v>
      </c>
      <c r="F71" s="14" t="str">
        <f>IF(E71="","",_xlfn.XLOOKUP(E71,取引先!B:B,取引先!A:A))</f>
        <v>LC-0001</v>
      </c>
      <c r="G71" s="19" t="s">
        <v>408</v>
      </c>
      <c r="H71" s="19" t="s">
        <v>354</v>
      </c>
      <c r="I71" s="30">
        <v>5319</v>
      </c>
      <c r="J71" s="19" t="s">
        <v>355</v>
      </c>
      <c r="K71" s="20"/>
      <c r="L71" s="19" t="s">
        <v>532</v>
      </c>
      <c r="M71" s="20"/>
      <c r="N71" s="19" t="s">
        <v>491</v>
      </c>
      <c r="O71" s="11" t="s">
        <v>174</v>
      </c>
      <c r="P71" s="6"/>
      <c r="R71" s="7"/>
    </row>
    <row r="72" spans="1:18" ht="15.75" customHeight="1">
      <c r="A72" s="19" t="s">
        <v>469</v>
      </c>
      <c r="B72" s="15"/>
      <c r="C72" s="25">
        <v>46022</v>
      </c>
      <c r="D72" s="25">
        <v>45682</v>
      </c>
      <c r="E72" s="19" t="s">
        <v>175</v>
      </c>
      <c r="F72" s="14" t="str">
        <f>IF(E72="","",_xlfn.XLOOKUP(E72,取引先!B:B,取引先!A:A))</f>
        <v>LC-0001</v>
      </c>
      <c r="G72" s="19" t="s">
        <v>408</v>
      </c>
      <c r="H72" s="19" t="s">
        <v>354</v>
      </c>
      <c r="I72" s="30">
        <v>2057</v>
      </c>
      <c r="J72" s="19" t="s">
        <v>355</v>
      </c>
      <c r="K72" s="20"/>
      <c r="L72" s="19" t="s">
        <v>533</v>
      </c>
      <c r="M72" s="20"/>
      <c r="N72" s="19" t="s">
        <v>494</v>
      </c>
      <c r="O72" s="11" t="s">
        <v>174</v>
      </c>
      <c r="P72" s="6"/>
      <c r="R72" s="7"/>
    </row>
    <row r="73" spans="1:18" ht="15.75" customHeight="1">
      <c r="A73" s="19" t="s">
        <v>469</v>
      </c>
      <c r="B73" s="15"/>
      <c r="C73" s="25">
        <v>46022</v>
      </c>
      <c r="D73" s="25">
        <v>45682</v>
      </c>
      <c r="E73" s="19" t="s">
        <v>175</v>
      </c>
      <c r="F73" s="14" t="str">
        <f>IF(E73="","",_xlfn.XLOOKUP(E73,取引先!B:B,取引先!A:A))</f>
        <v>LC-0001</v>
      </c>
      <c r="G73" s="19" t="s">
        <v>408</v>
      </c>
      <c r="H73" s="19" t="s">
        <v>354</v>
      </c>
      <c r="I73" s="30">
        <v>3580</v>
      </c>
      <c r="J73" s="19" t="s">
        <v>355</v>
      </c>
      <c r="K73" s="20"/>
      <c r="L73" s="19" t="s">
        <v>535</v>
      </c>
      <c r="M73" s="20"/>
      <c r="N73" s="19" t="s">
        <v>534</v>
      </c>
      <c r="O73" s="11" t="s">
        <v>174</v>
      </c>
      <c r="P73" s="6"/>
      <c r="R73" s="7"/>
    </row>
    <row r="74" spans="1:18" ht="15.75" customHeight="1">
      <c r="A74" s="19" t="s">
        <v>469</v>
      </c>
      <c r="B74" s="15"/>
      <c r="C74" s="25">
        <v>46022</v>
      </c>
      <c r="D74" s="25">
        <v>45682</v>
      </c>
      <c r="E74" s="19" t="s">
        <v>175</v>
      </c>
      <c r="F74" s="14" t="str">
        <f>IF(E74="","",_xlfn.XLOOKUP(E74,取引先!B:B,取引先!A:A))</f>
        <v>LC-0001</v>
      </c>
      <c r="G74" s="19" t="s">
        <v>408</v>
      </c>
      <c r="H74" s="19" t="s">
        <v>354</v>
      </c>
      <c r="I74" s="30">
        <v>5027</v>
      </c>
      <c r="J74" s="19" t="s">
        <v>355</v>
      </c>
      <c r="K74" s="20"/>
      <c r="L74" s="19" t="s">
        <v>537</v>
      </c>
      <c r="M74" s="20"/>
      <c r="N74" s="19" t="s">
        <v>536</v>
      </c>
      <c r="O74" s="11" t="s">
        <v>174</v>
      </c>
      <c r="P74" s="6"/>
      <c r="R74" s="7"/>
    </row>
    <row r="75" spans="1:18" ht="15.75" customHeight="1">
      <c r="A75" s="19" t="s">
        <v>469</v>
      </c>
      <c r="B75" s="15"/>
      <c r="C75" s="25">
        <v>46022</v>
      </c>
      <c r="D75" s="25">
        <v>45682</v>
      </c>
      <c r="E75" s="19" t="s">
        <v>175</v>
      </c>
      <c r="F75" s="14" t="str">
        <f>IF(E75="","",_xlfn.XLOOKUP(E75,取引先!B:B,取引先!A:A))</f>
        <v>LC-0001</v>
      </c>
      <c r="G75" s="19" t="s">
        <v>408</v>
      </c>
      <c r="H75" s="19" t="s">
        <v>354</v>
      </c>
      <c r="I75" s="30">
        <v>4928</v>
      </c>
      <c r="J75" s="19" t="s">
        <v>355</v>
      </c>
      <c r="K75" s="20"/>
      <c r="L75" s="19" t="s">
        <v>538</v>
      </c>
      <c r="M75" s="20"/>
      <c r="N75" s="19" t="s">
        <v>536</v>
      </c>
      <c r="O75" s="11" t="s">
        <v>174</v>
      </c>
      <c r="P75" s="6"/>
      <c r="R75" s="7"/>
    </row>
    <row r="76" spans="1:18" ht="15.75" customHeight="1">
      <c r="A76" s="19" t="s">
        <v>469</v>
      </c>
      <c r="B76" s="15"/>
      <c r="C76" s="25">
        <v>46022</v>
      </c>
      <c r="D76" s="25">
        <v>45682</v>
      </c>
      <c r="E76" s="19" t="s">
        <v>175</v>
      </c>
      <c r="F76" s="14" t="str">
        <f>IF(E76="","",_xlfn.XLOOKUP(E76,取引先!B:B,取引先!A:A))</f>
        <v>LC-0001</v>
      </c>
      <c r="G76" s="19" t="s">
        <v>408</v>
      </c>
      <c r="H76" s="19" t="s">
        <v>354</v>
      </c>
      <c r="I76" s="30">
        <v>7600</v>
      </c>
      <c r="J76" s="19" t="s">
        <v>355</v>
      </c>
      <c r="K76" s="20"/>
      <c r="L76" s="19" t="s">
        <v>539</v>
      </c>
      <c r="M76" s="20"/>
      <c r="N76" s="19" t="s">
        <v>488</v>
      </c>
      <c r="O76" s="11" t="s">
        <v>174</v>
      </c>
      <c r="P76" s="6"/>
      <c r="R76" s="7"/>
    </row>
    <row r="77" spans="1:18" ht="15.75" customHeight="1">
      <c r="A77" s="19" t="s">
        <v>469</v>
      </c>
      <c r="B77" s="15"/>
      <c r="C77" s="25">
        <v>46022</v>
      </c>
      <c r="D77" s="25">
        <v>45682</v>
      </c>
      <c r="E77" s="19" t="s">
        <v>175</v>
      </c>
      <c r="F77" s="14" t="str">
        <f>IF(E77="","",_xlfn.XLOOKUP(E77,取引先!B:B,取引先!A:A))</f>
        <v>LC-0001</v>
      </c>
      <c r="G77" s="19" t="s">
        <v>408</v>
      </c>
      <c r="H77" s="19" t="s">
        <v>354</v>
      </c>
      <c r="I77" s="30">
        <v>2640</v>
      </c>
      <c r="J77" s="19" t="s">
        <v>355</v>
      </c>
      <c r="K77" s="20"/>
      <c r="L77" s="19" t="s">
        <v>540</v>
      </c>
      <c r="M77" s="20"/>
      <c r="N77" s="19" t="s">
        <v>492</v>
      </c>
      <c r="O77" s="11" t="s">
        <v>174</v>
      </c>
      <c r="P77" s="6"/>
      <c r="R77" s="7"/>
    </row>
    <row r="78" spans="1:18" ht="15.75" customHeight="1">
      <c r="A78" s="19" t="s">
        <v>469</v>
      </c>
      <c r="B78" s="15"/>
      <c r="C78" s="25">
        <v>46022</v>
      </c>
      <c r="D78" s="25">
        <v>45682</v>
      </c>
      <c r="E78" s="19" t="s">
        <v>175</v>
      </c>
      <c r="F78" s="14" t="str">
        <f>IF(E78="","",_xlfn.XLOOKUP(E78,取引先!B:B,取引先!A:A))</f>
        <v>LC-0001</v>
      </c>
      <c r="G78" s="19" t="s">
        <v>408</v>
      </c>
      <c r="H78" s="19" t="s">
        <v>354</v>
      </c>
      <c r="I78" s="30">
        <v>3196</v>
      </c>
      <c r="J78" s="19" t="s">
        <v>355</v>
      </c>
      <c r="K78" s="20"/>
      <c r="L78" s="19" t="s">
        <v>541</v>
      </c>
      <c r="M78" s="20"/>
      <c r="N78" s="19" t="s">
        <v>536</v>
      </c>
      <c r="O78" s="11" t="s">
        <v>174</v>
      </c>
      <c r="P78" s="6"/>
      <c r="R78" s="7"/>
    </row>
    <row r="79" spans="1:18" ht="15.75" customHeight="1">
      <c r="A79" s="19" t="s">
        <v>469</v>
      </c>
      <c r="B79" s="15"/>
      <c r="C79" s="25">
        <v>46022</v>
      </c>
      <c r="D79" s="25">
        <v>45682</v>
      </c>
      <c r="E79" s="19" t="s">
        <v>175</v>
      </c>
      <c r="F79" s="14" t="str">
        <f>IF(E79="","",_xlfn.XLOOKUP(E79,取引先!B:B,取引先!A:A))</f>
        <v>LC-0001</v>
      </c>
      <c r="G79" s="19" t="s">
        <v>408</v>
      </c>
      <c r="H79" s="19" t="s">
        <v>354</v>
      </c>
      <c r="I79" s="30">
        <v>2800</v>
      </c>
      <c r="J79" s="19" t="s">
        <v>355</v>
      </c>
      <c r="K79" s="20"/>
      <c r="L79" s="19" t="s">
        <v>542</v>
      </c>
      <c r="M79" s="20"/>
      <c r="N79" s="19" t="s">
        <v>493</v>
      </c>
      <c r="O79" s="11" t="s">
        <v>174</v>
      </c>
      <c r="P79" s="6"/>
      <c r="R79" s="7"/>
    </row>
    <row r="80" spans="1:18" ht="15.75" customHeight="1">
      <c r="A80" s="19" t="s">
        <v>469</v>
      </c>
      <c r="B80" s="15"/>
      <c r="C80" s="25">
        <v>46022</v>
      </c>
      <c r="D80" s="25">
        <v>45682</v>
      </c>
      <c r="E80" s="19" t="s">
        <v>175</v>
      </c>
      <c r="F80" s="14" t="str">
        <f>IF(E80="","",_xlfn.XLOOKUP(E80,取引先!B:B,取引先!A:A))</f>
        <v>LC-0001</v>
      </c>
      <c r="G80" s="19" t="s">
        <v>408</v>
      </c>
      <c r="H80" s="19"/>
      <c r="I80" s="30">
        <v>2360</v>
      </c>
      <c r="J80" s="19"/>
      <c r="K80" s="20"/>
      <c r="L80" s="19" t="s">
        <v>543</v>
      </c>
      <c r="M80" s="20"/>
      <c r="N80" s="19" t="s">
        <v>495</v>
      </c>
      <c r="O80" s="11" t="s">
        <v>174</v>
      </c>
      <c r="P80" s="6"/>
      <c r="R80" s="7"/>
    </row>
    <row r="81" spans="1:18" ht="15.75" customHeight="1">
      <c r="A81" s="19" t="s">
        <v>469</v>
      </c>
      <c r="B81" s="15"/>
      <c r="C81" s="25">
        <v>46022</v>
      </c>
      <c r="D81" s="25">
        <v>45682</v>
      </c>
      <c r="E81" s="19" t="s">
        <v>175</v>
      </c>
      <c r="F81" s="14" t="str">
        <f>IF(E81="","",_xlfn.XLOOKUP(E81,取引先!B:B,取引先!A:A))</f>
        <v>LC-0001</v>
      </c>
      <c r="G81" s="19" t="s">
        <v>408</v>
      </c>
      <c r="H81" s="19"/>
      <c r="I81" s="30">
        <v>3072</v>
      </c>
      <c r="J81" s="19"/>
      <c r="K81" s="20"/>
      <c r="L81" s="19" t="s">
        <v>544</v>
      </c>
      <c r="M81" s="20"/>
      <c r="N81" s="19" t="s">
        <v>536</v>
      </c>
      <c r="O81" s="11" t="s">
        <v>174</v>
      </c>
      <c r="P81" s="6"/>
      <c r="R81" s="7"/>
    </row>
    <row r="82" spans="1:18" ht="15.75" customHeight="1">
      <c r="A82" s="19" t="s">
        <v>469</v>
      </c>
      <c r="B82" s="15"/>
      <c r="C82" s="25">
        <v>46022</v>
      </c>
      <c r="D82" s="25">
        <v>45682</v>
      </c>
      <c r="E82" s="19" t="s">
        <v>175</v>
      </c>
      <c r="F82" s="14" t="str">
        <f>IF(E82="","",_xlfn.XLOOKUP(E82,取引先!B:B,取引先!A:A))</f>
        <v>LC-0001</v>
      </c>
      <c r="G82" s="19" t="s">
        <v>408</v>
      </c>
      <c r="H82" s="19"/>
      <c r="I82" s="30">
        <v>5027</v>
      </c>
      <c r="J82" s="19"/>
      <c r="K82" s="20"/>
      <c r="L82" s="19" t="s">
        <v>546</v>
      </c>
      <c r="M82" s="20"/>
      <c r="N82" s="19" t="s">
        <v>545</v>
      </c>
      <c r="O82" s="11" t="s">
        <v>174</v>
      </c>
      <c r="P82" s="6"/>
      <c r="R82" s="7"/>
    </row>
    <row r="83" spans="1:18" ht="15.75" customHeight="1">
      <c r="A83" s="19" t="s">
        <v>469</v>
      </c>
      <c r="B83" s="15"/>
      <c r="C83" s="25">
        <v>46022</v>
      </c>
      <c r="D83" s="25">
        <v>45682</v>
      </c>
      <c r="E83" s="19" t="s">
        <v>175</v>
      </c>
      <c r="F83" s="14" t="str">
        <f>IF(E83="","",_xlfn.XLOOKUP(E83,取引先!B:B,取引先!A:A))</f>
        <v>LC-0001</v>
      </c>
      <c r="G83" s="19" t="s">
        <v>408</v>
      </c>
      <c r="H83" s="19"/>
      <c r="I83" s="30">
        <v>2600</v>
      </c>
      <c r="J83" s="19"/>
      <c r="K83" s="20"/>
      <c r="L83" s="19" t="s">
        <v>547</v>
      </c>
      <c r="M83" s="20"/>
      <c r="N83" s="19" t="s">
        <v>488</v>
      </c>
      <c r="O83" s="11" t="s">
        <v>174</v>
      </c>
      <c r="P83" s="6"/>
      <c r="R83" s="7"/>
    </row>
    <row r="84" spans="1:18" ht="15.75" customHeight="1">
      <c r="A84" s="27" t="s">
        <v>469</v>
      </c>
      <c r="B84" s="15"/>
      <c r="C84" s="25">
        <v>46022</v>
      </c>
      <c r="D84" s="25">
        <v>45688</v>
      </c>
      <c r="E84" s="17" t="s">
        <v>254</v>
      </c>
      <c r="F84" s="14" t="str">
        <f>IF(E84="","",_xlfn.XLOOKUP(E84,取引先!B:B,取引先!A:A))</f>
        <v>LC-0046</v>
      </c>
      <c r="G84" s="17" t="s">
        <v>409</v>
      </c>
      <c r="H84" s="17" t="s">
        <v>18</v>
      </c>
      <c r="I84" s="30">
        <v>7777</v>
      </c>
      <c r="J84" s="17" t="s">
        <v>355</v>
      </c>
      <c r="K84" s="18"/>
      <c r="L84" s="19" t="s">
        <v>475</v>
      </c>
      <c r="M84" s="17"/>
      <c r="N84" s="19" t="s">
        <v>498</v>
      </c>
      <c r="O84" s="11" t="s">
        <v>174</v>
      </c>
      <c r="P84" s="6"/>
      <c r="R84" s="7"/>
    </row>
    <row r="85" spans="1:18" ht="15.75" customHeight="1">
      <c r="A85" s="27" t="s">
        <v>469</v>
      </c>
      <c r="B85" s="15"/>
      <c r="C85" s="25">
        <v>46022</v>
      </c>
      <c r="D85" s="25">
        <v>45688</v>
      </c>
      <c r="E85" s="17" t="s">
        <v>254</v>
      </c>
      <c r="F85" s="14" t="str">
        <f>IF(E85="","",_xlfn.XLOOKUP(E85,取引先!B:B,取引先!A:A))</f>
        <v>LC-0046</v>
      </c>
      <c r="G85" s="17" t="s">
        <v>409</v>
      </c>
      <c r="H85" s="17" t="s">
        <v>18</v>
      </c>
      <c r="I85" s="30">
        <v>5830</v>
      </c>
      <c r="J85" s="17" t="s">
        <v>355</v>
      </c>
      <c r="K85" s="18"/>
      <c r="L85" s="19" t="s">
        <v>475</v>
      </c>
      <c r="M85" s="17"/>
      <c r="N85" s="19" t="s">
        <v>550</v>
      </c>
      <c r="O85" s="11" t="s">
        <v>174</v>
      </c>
      <c r="P85" s="6"/>
      <c r="R85" s="7"/>
    </row>
    <row r="86" spans="1:18" ht="15.75" customHeight="1">
      <c r="A86" s="27" t="s">
        <v>469</v>
      </c>
      <c r="B86" s="15"/>
      <c r="C86" s="25">
        <v>46022</v>
      </c>
      <c r="D86" s="25">
        <v>45688</v>
      </c>
      <c r="E86" s="17" t="s">
        <v>254</v>
      </c>
      <c r="F86" s="14" t="str">
        <f>IF(E86="","",_xlfn.XLOOKUP(E86,取引先!B:B,取引先!A:A))</f>
        <v>LC-0046</v>
      </c>
      <c r="G86" s="17" t="s">
        <v>409</v>
      </c>
      <c r="H86" s="17" t="s">
        <v>18</v>
      </c>
      <c r="I86" s="30">
        <v>9317</v>
      </c>
      <c r="J86" s="17" t="s">
        <v>355</v>
      </c>
      <c r="K86" s="18"/>
      <c r="L86" s="19" t="s">
        <v>475</v>
      </c>
      <c r="M86" s="17"/>
      <c r="N86" s="19" t="s">
        <v>498</v>
      </c>
      <c r="O86" s="11" t="s">
        <v>174</v>
      </c>
      <c r="P86" s="6"/>
      <c r="R86" s="7"/>
    </row>
    <row r="87" spans="1:18" ht="15.75" customHeight="1">
      <c r="A87" s="27" t="s">
        <v>469</v>
      </c>
      <c r="B87" s="15"/>
      <c r="C87" s="25">
        <v>46022</v>
      </c>
      <c r="D87" s="25">
        <v>45688</v>
      </c>
      <c r="E87" s="17" t="s">
        <v>254</v>
      </c>
      <c r="F87" s="14" t="str">
        <f>IF(E87="","",_xlfn.XLOOKUP(E87,取引先!B:B,取引先!A:A))</f>
        <v>LC-0046</v>
      </c>
      <c r="G87" s="17" t="s">
        <v>409</v>
      </c>
      <c r="H87" s="17" t="s">
        <v>18</v>
      </c>
      <c r="I87" s="30">
        <v>7535</v>
      </c>
      <c r="J87" s="17" t="s">
        <v>355</v>
      </c>
      <c r="K87" s="18"/>
      <c r="L87" s="19" t="s">
        <v>475</v>
      </c>
      <c r="M87" s="17"/>
      <c r="N87" s="19" t="s">
        <v>498</v>
      </c>
      <c r="O87" s="11" t="s">
        <v>174</v>
      </c>
      <c r="P87" s="6"/>
      <c r="R87" s="7"/>
    </row>
    <row r="88" spans="1:18" ht="15.75" customHeight="1">
      <c r="A88" s="27" t="s">
        <v>469</v>
      </c>
      <c r="B88" s="15"/>
      <c r="C88" s="25">
        <v>46022</v>
      </c>
      <c r="D88" s="25">
        <v>45688</v>
      </c>
      <c r="E88" s="17" t="s">
        <v>254</v>
      </c>
      <c r="F88" s="14" t="str">
        <f>IF(E88="","",_xlfn.XLOOKUP(E88,取引先!B:B,取引先!A:A))</f>
        <v>LC-0046</v>
      </c>
      <c r="G88" s="17" t="s">
        <v>409</v>
      </c>
      <c r="H88" s="17" t="s">
        <v>18</v>
      </c>
      <c r="I88" s="30">
        <v>7370</v>
      </c>
      <c r="J88" s="17" t="s">
        <v>355</v>
      </c>
      <c r="K88" s="18"/>
      <c r="L88" s="19" t="s">
        <v>475</v>
      </c>
      <c r="M88" s="17"/>
      <c r="N88" s="19" t="s">
        <v>498</v>
      </c>
      <c r="O88" s="11" t="s">
        <v>174</v>
      </c>
      <c r="P88" s="6"/>
      <c r="R88" s="7"/>
    </row>
    <row r="89" spans="1:18" ht="15.75" customHeight="1">
      <c r="A89" s="27" t="s">
        <v>469</v>
      </c>
      <c r="B89" s="15"/>
      <c r="C89" s="25">
        <v>46022</v>
      </c>
      <c r="D89" s="25">
        <v>45688</v>
      </c>
      <c r="E89" s="17" t="s">
        <v>254</v>
      </c>
      <c r="F89" s="14" t="str">
        <f>IF(E89="","",_xlfn.XLOOKUP(E89,取引先!B:B,取引先!A:A))</f>
        <v>LC-0046</v>
      </c>
      <c r="G89" s="17" t="s">
        <v>409</v>
      </c>
      <c r="H89" s="17" t="s">
        <v>18</v>
      </c>
      <c r="I89" s="30">
        <v>39590</v>
      </c>
      <c r="J89" s="17" t="s">
        <v>355</v>
      </c>
      <c r="K89" s="18"/>
      <c r="L89" s="19" t="s">
        <v>477</v>
      </c>
      <c r="M89" s="17"/>
      <c r="N89" s="19" t="s">
        <v>358</v>
      </c>
      <c r="O89" s="11" t="s">
        <v>174</v>
      </c>
      <c r="P89" s="6"/>
      <c r="R89" s="7"/>
    </row>
    <row r="138" spans="1:18" ht="15.75" customHeight="1">
      <c r="A138" s="17"/>
      <c r="B138" s="15"/>
      <c r="C138" s="25"/>
      <c r="D138" s="25"/>
      <c r="E138" s="17"/>
      <c r="F138" s="14"/>
      <c r="G138" s="17"/>
      <c r="H138" s="17"/>
      <c r="I138" s="30"/>
      <c r="J138" s="17"/>
      <c r="K138" s="18"/>
      <c r="L138" s="19"/>
      <c r="M138" s="17"/>
      <c r="N138" s="19"/>
      <c r="O138" s="11"/>
      <c r="P138" s="6"/>
      <c r="R138" s="7"/>
    </row>
    <row r="139" spans="1:18" ht="15.75" customHeight="1">
      <c r="A139" s="17"/>
      <c r="B139" s="15"/>
      <c r="C139" s="25"/>
      <c r="D139" s="25"/>
      <c r="E139" s="17"/>
      <c r="F139" s="14"/>
      <c r="G139" s="17"/>
      <c r="H139" s="17"/>
      <c r="I139" s="30"/>
      <c r="J139" s="17"/>
      <c r="K139" s="18"/>
      <c r="L139" s="19"/>
      <c r="M139" s="17"/>
      <c r="N139" s="19"/>
      <c r="O139" s="11"/>
      <c r="P139" s="6"/>
      <c r="R139" s="7"/>
    </row>
    <row r="140" spans="1:18" ht="15.75" customHeight="1">
      <c r="A140" s="17"/>
      <c r="B140" s="15"/>
      <c r="C140" s="25"/>
      <c r="D140" s="25"/>
      <c r="E140" s="17"/>
      <c r="F140" s="14"/>
      <c r="G140" s="17"/>
      <c r="H140" s="17"/>
      <c r="I140" s="30"/>
      <c r="J140" s="17"/>
      <c r="K140" s="18"/>
      <c r="L140" s="19"/>
      <c r="M140" s="17"/>
      <c r="N140" s="19"/>
      <c r="O140" s="11"/>
      <c r="P140" s="6"/>
      <c r="R140" s="7"/>
    </row>
    <row r="141" spans="1:18" ht="15.75" customHeight="1">
      <c r="A141" s="17"/>
      <c r="B141" s="15"/>
      <c r="C141" s="25"/>
      <c r="D141" s="25"/>
      <c r="E141" s="17"/>
      <c r="F141" s="14"/>
      <c r="G141" s="17"/>
      <c r="H141" s="17"/>
      <c r="I141" s="30"/>
      <c r="J141" s="17"/>
      <c r="K141" s="18"/>
      <c r="L141" s="19"/>
      <c r="M141" s="17"/>
      <c r="N141" s="19"/>
      <c r="O141" s="11"/>
      <c r="P141" s="6"/>
      <c r="R141" s="7"/>
    </row>
    <row r="142" spans="1:18" ht="15.75" customHeight="1">
      <c r="A142" s="17"/>
      <c r="B142" s="15"/>
      <c r="C142" s="25"/>
      <c r="D142" s="25"/>
      <c r="E142" s="17"/>
      <c r="F142" s="14"/>
      <c r="G142" s="17"/>
      <c r="H142" s="17"/>
      <c r="I142" s="30"/>
      <c r="J142" s="17"/>
      <c r="K142" s="18"/>
      <c r="L142" s="19"/>
      <c r="N142" s="19"/>
      <c r="O142" s="11"/>
      <c r="P142" s="6"/>
      <c r="R142" s="7"/>
    </row>
    <row r="143" spans="1:18" ht="15.75" customHeight="1">
      <c r="A143" s="17"/>
      <c r="B143" s="15"/>
      <c r="C143" s="25"/>
      <c r="D143" s="25"/>
      <c r="E143" s="17"/>
      <c r="F143" s="14"/>
      <c r="G143" s="17"/>
      <c r="H143" s="17"/>
      <c r="I143" s="30"/>
      <c r="L143" s="19"/>
      <c r="N143" s="19"/>
      <c r="O143" s="11"/>
      <c r="P143" s="6"/>
      <c r="R143" s="7"/>
    </row>
  </sheetData>
  <autoFilter ref="A1:U139" xr:uid="{0E7FADB3-050C-4A13-A840-48DBC4D1D3E1}"/>
  <phoneticPr fontId="3"/>
  <dataValidations count="2">
    <dataValidation type="list" allowBlank="1" showInputMessage="1" showErrorMessage="1" sqref="N138:N142 N2:N6 N7 N8:N28 N34:N89" xr:uid="{BCB8B16E-C910-4515-8F33-C4F9EAEF07E2}">
      <formula1>店舗名</formula1>
    </dataValidation>
    <dataValidation type="list" allowBlank="1" showInputMessage="1" showErrorMessage="1" sqref="N29:N33" xr:uid="{84FF7761-DB62-4C9D-8BCE-22B6B18014F7}">
      <formula1>外部table</formula1>
    </dataValidation>
  </dataValidations>
  <printOptions horizontalCentered="1"/>
  <pageMargins left="0.70866141732283461" right="0.70866141732283461" top="0.74803149606299213" bottom="0.74803149606299213" header="0.31496062992125984" footer="0.31496062992125984"/>
  <pageSetup paperSize="9" scale="53" fitToHeight="0" orientation="landscape" r:id="rId1"/>
  <headerFooter>
    <oddHeader>&amp;L&amp;"ＭＳ Ｐゴシック,標準"ハッピーホールディングス（株）</oddHeader>
    <oddFooter>&amp;P / &amp;N ページ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ED5621-4807-4678-B5EE-6D750CF3EEC5}">
          <x14:formula1>
            <xm:f>リスト!$A:$A</xm:f>
          </x14:formula1>
          <xm:sqref>N144:N1048576</xm:sqref>
        </x14:dataValidation>
        <x14:dataValidation type="list" allowBlank="1" showInputMessage="1" showErrorMessage="1" xr:uid="{0757F478-567B-4390-AC5E-CB5D89479682}">
          <x14:formula1>
            <xm:f>IF($N$1="",リスト!$A:$A,_xlfn.ANCHORARRAY(リスト!$B$2))</xm:f>
          </x14:formula1>
          <xm:sqref>N143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C589-7596-4609-B67D-017B04705E94}">
  <sheetPr codeName="Sheet3"/>
  <dimension ref="A1:Q43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0" sqref="D10"/>
    </sheetView>
  </sheetViews>
  <sheetFormatPr defaultColWidth="8.7109375" defaultRowHeight="14.25"/>
  <cols>
    <col min="1" max="1" width="19.7109375" style="1" bestFit="1" customWidth="1"/>
    <col min="2" max="2" width="11.140625" style="1" bestFit="1" customWidth="1"/>
    <col min="3" max="3" width="5.85546875" style="1" customWidth="1"/>
    <col min="4" max="4" width="21.7109375" style="1" customWidth="1"/>
    <col min="5" max="5" width="8.7109375" style="54" customWidth="1"/>
    <col min="6" max="6" width="7.140625" style="1" customWidth="1"/>
    <col min="7" max="7" width="29" style="10" customWidth="1"/>
    <col min="8" max="16384" width="8.7109375" style="1"/>
  </cols>
  <sheetData>
    <row r="1" spans="1:7">
      <c r="A1" s="1" t="s">
        <v>577</v>
      </c>
      <c r="B1" s="1" t="s">
        <v>583</v>
      </c>
      <c r="C1" s="1" t="s">
        <v>584</v>
      </c>
      <c r="D1" s="1" t="s">
        <v>858</v>
      </c>
      <c r="E1" s="54" t="s">
        <v>842</v>
      </c>
      <c r="F1" s="1" t="s">
        <v>850</v>
      </c>
      <c r="G1" s="10" t="s">
        <v>841</v>
      </c>
    </row>
    <row r="2" spans="1:7">
      <c r="A2" s="49" t="s">
        <v>592</v>
      </c>
      <c r="B2" s="1" t="s">
        <v>591</v>
      </c>
      <c r="C2"/>
      <c r="D2" s="45" t="str">
        <f t="shared" ref="D2:D61" si="0">HYPERLINK(C2)</f>
        <v/>
      </c>
      <c r="E2"/>
      <c r="G2" s="55" t="str">
        <f>HYPERLINK(E2&amp;F2)</f>
        <v/>
      </c>
    </row>
    <row r="3" spans="1:7">
      <c r="A3" s="50" t="s">
        <v>593</v>
      </c>
      <c r="B3" s="1" t="s">
        <v>591</v>
      </c>
      <c r="C3"/>
      <c r="D3" s="45" t="str">
        <f t="shared" si="0"/>
        <v/>
      </c>
      <c r="E3" s="1"/>
      <c r="G3" s="55" t="str">
        <f t="shared" ref="G3:G66" si="1">HYPERLINK(E3&amp;F3)</f>
        <v/>
      </c>
    </row>
    <row r="4" spans="1:7">
      <c r="A4" s="1" t="s">
        <v>313</v>
      </c>
      <c r="B4" s="1" t="s">
        <v>575</v>
      </c>
      <c r="C4" t="s">
        <v>834</v>
      </c>
      <c r="D4" s="45" t="str">
        <f t="shared" si="0"/>
        <v>http://www.hug-globalkidsmethod.link/hug/wm/actual_cost_management.php</v>
      </c>
      <c r="E4" t="s">
        <v>843</v>
      </c>
      <c r="F4" s="1" t="s">
        <v>849</v>
      </c>
      <c r="G4" s="55" t="str">
        <f t="shared" si="1"/>
        <v>https://www.hug-globalkidsmethod.link/hug/wm/attendance.php?mode=detail&amp;f_id=4&amp;date=2026-05-10</v>
      </c>
    </row>
    <row r="5" spans="1:7">
      <c r="A5" s="1" t="s">
        <v>594</v>
      </c>
      <c r="B5" s="1" t="s">
        <v>575</v>
      </c>
      <c r="C5" t="s">
        <v>834</v>
      </c>
      <c r="D5" s="45" t="str">
        <f t="shared" si="0"/>
        <v>http://www.hug-globalkidsmethod.link/hug/wm/actual_cost_management.php</v>
      </c>
      <c r="E5" t="s">
        <v>843</v>
      </c>
      <c r="F5" s="1" t="s">
        <v>849</v>
      </c>
      <c r="G5" s="55" t="str">
        <f t="shared" si="1"/>
        <v>https://www.hug-globalkidsmethod.link/hug/wm/attendance.php?mode=detail&amp;f_id=4&amp;date=2026-05-10</v>
      </c>
    </row>
    <row r="6" spans="1:7">
      <c r="A6" s="44" t="s">
        <v>595</v>
      </c>
      <c r="B6" s="1" t="s">
        <v>579</v>
      </c>
      <c r="C6" t="s">
        <v>832</v>
      </c>
      <c r="D6" s="45" t="str">
        <f t="shared" si="0"/>
        <v>http://www.hug-globalkidsmethod06.link/hug/wm/actual_cost_management.php</v>
      </c>
      <c r="E6" t="s">
        <v>848</v>
      </c>
      <c r="F6" s="1" t="s">
        <v>849</v>
      </c>
      <c r="G6" s="55" t="str">
        <f t="shared" si="1"/>
        <v>https://www.hug-globalkidsmethod06.link/hug/wm/attendance.php?mode=detail&amp;f_id=4&amp;date=2026-05-10</v>
      </c>
    </row>
    <row r="7" spans="1:7">
      <c r="A7" s="42" t="s">
        <v>596</v>
      </c>
      <c r="B7" s="1" t="s">
        <v>575</v>
      </c>
      <c r="C7" t="s">
        <v>834</v>
      </c>
      <c r="D7" s="45" t="str">
        <f t="shared" si="0"/>
        <v>http://www.hug-globalkidsmethod.link/hug/wm/actual_cost_management.php</v>
      </c>
      <c r="E7" t="s">
        <v>843</v>
      </c>
      <c r="F7" s="1" t="s">
        <v>849</v>
      </c>
      <c r="G7" s="55" t="str">
        <f t="shared" si="1"/>
        <v>https://www.hug-globalkidsmethod.link/hug/wm/attendance.php?mode=detail&amp;f_id=4&amp;date=2026-05-10</v>
      </c>
    </row>
    <row r="8" spans="1:7" ht="26.25">
      <c r="A8" s="42" t="s">
        <v>597</v>
      </c>
      <c r="B8" s="1" t="s">
        <v>575</v>
      </c>
      <c r="C8" t="s">
        <v>834</v>
      </c>
      <c r="D8" s="45" t="str">
        <f t="shared" si="0"/>
        <v>http://www.hug-globalkidsmethod.link/hug/wm/actual_cost_management.php</v>
      </c>
      <c r="E8" t="s">
        <v>843</v>
      </c>
      <c r="F8" s="1" t="s">
        <v>849</v>
      </c>
      <c r="G8" s="55" t="str">
        <f t="shared" si="1"/>
        <v>https://www.hug-globalkidsmethod.link/hug/wm/attendance.php?mode=detail&amp;f_id=4&amp;date=2026-05-10</v>
      </c>
    </row>
    <row r="9" spans="1:7">
      <c r="A9" s="1" t="s">
        <v>598</v>
      </c>
      <c r="B9" s="1" t="s">
        <v>575</v>
      </c>
      <c r="C9" t="s">
        <v>834</v>
      </c>
      <c r="D9" s="45" t="str">
        <f t="shared" si="0"/>
        <v>http://www.hug-globalkidsmethod.link/hug/wm/actual_cost_management.php</v>
      </c>
      <c r="E9" t="s">
        <v>843</v>
      </c>
      <c r="F9" s="1" t="s">
        <v>849</v>
      </c>
      <c r="G9" s="55" t="str">
        <f t="shared" si="1"/>
        <v>https://www.hug-globalkidsmethod.link/hug/wm/attendance.php?mode=detail&amp;f_id=4&amp;date=2026-05-10</v>
      </c>
    </row>
    <row r="10" spans="1:7">
      <c r="A10" s="43" t="s">
        <v>599</v>
      </c>
      <c r="B10" s="1" t="s">
        <v>580</v>
      </c>
      <c r="C10" t="s">
        <v>833</v>
      </c>
      <c r="D10" s="45" t="str">
        <f t="shared" si="0"/>
        <v>http://www.hug-globalkidsmethod02.link/hug/wm/actual_cost_management.php</v>
      </c>
      <c r="E10" t="s">
        <v>844</v>
      </c>
      <c r="F10" s="1" t="s">
        <v>849</v>
      </c>
      <c r="G10" s="55" t="str">
        <f t="shared" si="1"/>
        <v>https://www.hug-globalkidsmethod02.link/hug/wm/attendance.php?mode=detail&amp;f_id=4&amp;date=2026-05-10</v>
      </c>
    </row>
    <row r="11" spans="1:7">
      <c r="A11" s="50" t="s">
        <v>600</v>
      </c>
      <c r="B11" s="1" t="s">
        <v>591</v>
      </c>
      <c r="C11"/>
      <c r="D11" s="45" t="str">
        <f t="shared" si="0"/>
        <v/>
      </c>
      <c r="E11" s="1"/>
      <c r="G11" s="55" t="str">
        <f t="shared" si="1"/>
        <v/>
      </c>
    </row>
    <row r="12" spans="1:7">
      <c r="A12" s="50" t="s">
        <v>601</v>
      </c>
      <c r="B12" s="1" t="s">
        <v>591</v>
      </c>
      <c r="C12"/>
      <c r="D12" s="45" t="str">
        <f t="shared" si="0"/>
        <v/>
      </c>
      <c r="E12" s="1"/>
      <c r="G12" s="55" t="str">
        <f t="shared" si="1"/>
        <v/>
      </c>
    </row>
    <row r="13" spans="1:7">
      <c r="A13" s="1" t="s">
        <v>602</v>
      </c>
      <c r="B13" s="1" t="s">
        <v>575</v>
      </c>
      <c r="C13" t="s">
        <v>834</v>
      </c>
      <c r="D13" s="45" t="str">
        <f t="shared" si="0"/>
        <v>http://www.hug-globalkidsmethod.link/hug/wm/actual_cost_management.php</v>
      </c>
      <c r="E13" t="s">
        <v>843</v>
      </c>
      <c r="F13" s="1" t="s">
        <v>849</v>
      </c>
      <c r="G13" s="55" t="str">
        <f t="shared" si="1"/>
        <v>https://www.hug-globalkidsmethod.link/hug/wm/attendance.php?mode=detail&amp;f_id=4&amp;date=2026-05-10</v>
      </c>
    </row>
    <row r="14" spans="1:7">
      <c r="A14" s="42" t="s">
        <v>603</v>
      </c>
      <c r="B14" s="1" t="s">
        <v>575</v>
      </c>
      <c r="C14" t="s">
        <v>834</v>
      </c>
      <c r="D14" s="45" t="str">
        <f t="shared" si="0"/>
        <v>http://www.hug-globalkidsmethod.link/hug/wm/actual_cost_management.php</v>
      </c>
      <c r="E14" t="s">
        <v>843</v>
      </c>
      <c r="F14" s="1" t="s">
        <v>849</v>
      </c>
      <c r="G14" s="55" t="str">
        <f t="shared" si="1"/>
        <v>https://www.hug-globalkidsmethod.link/hug/wm/attendance.php?mode=detail&amp;f_id=4&amp;date=2026-05-10</v>
      </c>
    </row>
    <row r="15" spans="1:7">
      <c r="A15" s="44" t="s">
        <v>604</v>
      </c>
      <c r="B15" s="1" t="s">
        <v>579</v>
      </c>
      <c r="C15" t="s">
        <v>832</v>
      </c>
      <c r="D15" s="45" t="str">
        <f t="shared" si="0"/>
        <v>http://www.hug-globalkidsmethod06.link/hug/wm/actual_cost_management.php</v>
      </c>
      <c r="E15" t="s">
        <v>848</v>
      </c>
      <c r="F15" s="1" t="s">
        <v>849</v>
      </c>
      <c r="G15" s="55" t="str">
        <f t="shared" si="1"/>
        <v>https://www.hug-globalkidsmethod06.link/hug/wm/attendance.php?mode=detail&amp;f_id=4&amp;date=2026-05-10</v>
      </c>
    </row>
    <row r="16" spans="1:7">
      <c r="A16" s="44" t="s">
        <v>605</v>
      </c>
      <c r="B16" s="1" t="s">
        <v>579</v>
      </c>
      <c r="C16" t="s">
        <v>832</v>
      </c>
      <c r="D16" s="45" t="str">
        <f t="shared" si="0"/>
        <v>http://www.hug-globalkidsmethod06.link/hug/wm/actual_cost_management.php</v>
      </c>
      <c r="E16" t="s">
        <v>848</v>
      </c>
      <c r="F16" s="1" t="s">
        <v>849</v>
      </c>
      <c r="G16" s="55" t="str">
        <f t="shared" si="1"/>
        <v>https://www.hug-globalkidsmethod06.link/hug/wm/attendance.php?mode=detail&amp;f_id=4&amp;date=2026-05-10</v>
      </c>
    </row>
    <row r="17" spans="1:7">
      <c r="A17" s="50" t="s">
        <v>606</v>
      </c>
      <c r="B17" s="1" t="s">
        <v>591</v>
      </c>
      <c r="C17"/>
      <c r="D17" s="45" t="str">
        <f t="shared" si="0"/>
        <v/>
      </c>
      <c r="E17" s="1"/>
      <c r="G17" s="55" t="str">
        <f t="shared" si="1"/>
        <v/>
      </c>
    </row>
    <row r="18" spans="1:7">
      <c r="A18" s="1" t="s">
        <v>607</v>
      </c>
      <c r="B18" s="1" t="s">
        <v>575</v>
      </c>
      <c r="C18" t="s">
        <v>834</v>
      </c>
      <c r="D18" s="45" t="str">
        <f t="shared" si="0"/>
        <v>http://www.hug-globalkidsmethod.link/hug/wm/actual_cost_management.php</v>
      </c>
      <c r="E18" t="s">
        <v>843</v>
      </c>
      <c r="F18" s="1" t="s">
        <v>849</v>
      </c>
      <c r="G18" s="55" t="str">
        <f t="shared" si="1"/>
        <v>https://www.hug-globalkidsmethod.link/hug/wm/attendance.php?mode=detail&amp;f_id=4&amp;date=2026-05-10</v>
      </c>
    </row>
    <row r="19" spans="1:7">
      <c r="A19" s="44" t="s">
        <v>608</v>
      </c>
      <c r="B19" s="1" t="s">
        <v>579</v>
      </c>
      <c r="C19" t="s">
        <v>832</v>
      </c>
      <c r="D19" s="45" t="str">
        <f t="shared" si="0"/>
        <v>http://www.hug-globalkidsmethod06.link/hug/wm/actual_cost_management.php</v>
      </c>
      <c r="E19" t="s">
        <v>848</v>
      </c>
      <c r="F19" s="1" t="s">
        <v>849</v>
      </c>
      <c r="G19" s="55" t="str">
        <f t="shared" si="1"/>
        <v>https://www.hug-globalkidsmethod06.link/hug/wm/attendance.php?mode=detail&amp;f_id=4&amp;date=2026-05-10</v>
      </c>
    </row>
    <row r="20" spans="1:7" ht="15" thickBot="1">
      <c r="A20" s="40" t="s">
        <v>609</v>
      </c>
      <c r="B20" s="1" t="s">
        <v>581</v>
      </c>
      <c r="C20" t="s">
        <v>831</v>
      </c>
      <c r="D20" s="45" t="str">
        <f t="shared" si="0"/>
        <v>http://www.hug-globalkidsmethod03.link/hug/wm/actual_cost_management.php</v>
      </c>
      <c r="E20" t="s">
        <v>845</v>
      </c>
      <c r="F20" s="1" t="s">
        <v>849</v>
      </c>
      <c r="G20" s="55" t="str">
        <f t="shared" si="1"/>
        <v>https://www.hug-globalkidsmethod03.link/hug/wm/attendance.php?mode=detail&amp;f_id=4&amp;date=2026-05-10</v>
      </c>
    </row>
    <row r="21" spans="1:7" ht="15" thickBot="1">
      <c r="A21" s="32" t="s">
        <v>610</v>
      </c>
      <c r="B21" s="1" t="s">
        <v>581</v>
      </c>
      <c r="C21" t="s">
        <v>830</v>
      </c>
      <c r="D21" s="45" t="str">
        <f t="shared" si="0"/>
        <v>actual_cost_management.php</v>
      </c>
      <c r="E21" t="s">
        <v>845</v>
      </c>
      <c r="F21" s="1" t="s">
        <v>849</v>
      </c>
      <c r="G21" s="55" t="str">
        <f t="shared" si="1"/>
        <v>https://www.hug-globalkidsmethod03.link/hug/wm/attendance.php?mode=detail&amp;f_id=4&amp;date=2026-05-10</v>
      </c>
    </row>
    <row r="22" spans="1:7">
      <c r="A22" s="50" t="s">
        <v>611</v>
      </c>
      <c r="B22" s="1" t="s">
        <v>591</v>
      </c>
      <c r="C22"/>
      <c r="D22" s="45" t="str">
        <f t="shared" si="0"/>
        <v/>
      </c>
      <c r="E22" s="1"/>
      <c r="G22" s="55" t="str">
        <f t="shared" si="1"/>
        <v/>
      </c>
    </row>
    <row r="23" spans="1:7" ht="15" thickBot="1">
      <c r="A23" s="50" t="s">
        <v>612</v>
      </c>
      <c r="B23" s="1" t="s">
        <v>591</v>
      </c>
      <c r="C23"/>
      <c r="D23" s="45" t="str">
        <f t="shared" si="0"/>
        <v/>
      </c>
      <c r="E23" s="1"/>
      <c r="G23" s="55" t="str">
        <f t="shared" si="1"/>
        <v/>
      </c>
    </row>
    <row r="24" spans="1:7" ht="15" thickBot="1">
      <c r="A24" s="46" t="s">
        <v>613</v>
      </c>
      <c r="B24" s="1" t="s">
        <v>575</v>
      </c>
      <c r="C24" t="s">
        <v>834</v>
      </c>
      <c r="D24" s="45" t="str">
        <f t="shared" si="0"/>
        <v>http://www.hug-globalkidsmethod.link/hug/wm/actual_cost_management.php</v>
      </c>
      <c r="E24" t="s">
        <v>843</v>
      </c>
      <c r="F24" s="1" t="s">
        <v>849</v>
      </c>
      <c r="G24" s="55" t="str">
        <f t="shared" si="1"/>
        <v>https://www.hug-globalkidsmethod.link/hug/wm/attendance.php?mode=detail&amp;f_id=4&amp;date=2026-05-10</v>
      </c>
    </row>
    <row r="25" spans="1:7" ht="15" thickBot="1">
      <c r="A25" s="32" t="s">
        <v>614</v>
      </c>
      <c r="B25" s="1" t="s">
        <v>581</v>
      </c>
      <c r="C25" t="s">
        <v>830</v>
      </c>
      <c r="D25" s="45" t="str">
        <f t="shared" si="0"/>
        <v>actual_cost_management.php</v>
      </c>
      <c r="E25" t="s">
        <v>845</v>
      </c>
      <c r="F25" s="1" t="s">
        <v>849</v>
      </c>
      <c r="G25" s="55" t="str">
        <f t="shared" si="1"/>
        <v>https://www.hug-globalkidsmethod03.link/hug/wm/attendance.php?mode=detail&amp;f_id=4&amp;date=2026-05-10</v>
      </c>
    </row>
    <row r="26" spans="1:7">
      <c r="A26" s="44" t="s">
        <v>823</v>
      </c>
      <c r="B26" s="1" t="s">
        <v>579</v>
      </c>
      <c r="C26" t="s">
        <v>832</v>
      </c>
      <c r="D26" s="45" t="str">
        <f>HYPERLINK(C26)</f>
        <v>http://www.hug-globalkidsmethod06.link/hug/wm/actual_cost_management.php</v>
      </c>
      <c r="E26" t="s">
        <v>848</v>
      </c>
      <c r="F26" s="1" t="s">
        <v>849</v>
      </c>
      <c r="G26" s="55" t="str">
        <f t="shared" si="1"/>
        <v>https://www.hug-globalkidsmethod06.link/hug/wm/attendance.php?mode=detail&amp;f_id=4&amp;date=2026-05-10</v>
      </c>
    </row>
    <row r="27" spans="1:7">
      <c r="A27" s="50" t="s">
        <v>615</v>
      </c>
      <c r="B27" s="1" t="s">
        <v>591</v>
      </c>
      <c r="C27"/>
      <c r="D27" s="45" t="str">
        <f t="shared" si="0"/>
        <v/>
      </c>
      <c r="E27" s="1"/>
      <c r="G27" s="55" t="str">
        <f t="shared" si="1"/>
        <v/>
      </c>
    </row>
    <row r="28" spans="1:7">
      <c r="A28" s="44" t="s">
        <v>616</v>
      </c>
      <c r="B28" s="1" t="s">
        <v>579</v>
      </c>
      <c r="C28" t="s">
        <v>832</v>
      </c>
      <c r="D28" s="45" t="str">
        <f t="shared" si="0"/>
        <v>http://www.hug-globalkidsmethod06.link/hug/wm/actual_cost_management.php</v>
      </c>
      <c r="E28" t="s">
        <v>848</v>
      </c>
      <c r="F28" s="1" t="s">
        <v>849</v>
      </c>
      <c r="G28" s="55" t="str">
        <f t="shared" si="1"/>
        <v>https://www.hug-globalkidsmethod06.link/hug/wm/attendance.php?mode=detail&amp;f_id=4&amp;date=2026-05-10</v>
      </c>
    </row>
    <row r="29" spans="1:7">
      <c r="A29" s="44" t="s">
        <v>617</v>
      </c>
      <c r="B29" s="1" t="s">
        <v>579</v>
      </c>
      <c r="C29" t="s">
        <v>832</v>
      </c>
      <c r="D29" s="45" t="str">
        <f t="shared" si="0"/>
        <v>http://www.hug-globalkidsmethod06.link/hug/wm/actual_cost_management.php</v>
      </c>
      <c r="E29" t="s">
        <v>848</v>
      </c>
      <c r="F29" s="1" t="s">
        <v>849</v>
      </c>
      <c r="G29" s="55" t="str">
        <f t="shared" si="1"/>
        <v>https://www.hug-globalkidsmethod06.link/hug/wm/attendance.php?mode=detail&amp;f_id=4&amp;date=2026-05-10</v>
      </c>
    </row>
    <row r="30" spans="1:7">
      <c r="A30" s="41" t="s">
        <v>618</v>
      </c>
      <c r="B30" s="1" t="s">
        <v>578</v>
      </c>
      <c r="C30" t="s">
        <v>836</v>
      </c>
      <c r="D30" s="45" t="str">
        <f t="shared" si="0"/>
        <v>http://www.hug-globalkidsmethod05.link/hug/wm/actual_cost_management.php</v>
      </c>
      <c r="E30" t="s">
        <v>847</v>
      </c>
      <c r="F30" s="1" t="s">
        <v>849</v>
      </c>
      <c r="G30" s="55" t="str">
        <f t="shared" si="1"/>
        <v>https://www.hug-globalkidsmethod05.link/hug/wm/attendance.php?mode=detail&amp;f_id=4&amp;date=2026-05-10</v>
      </c>
    </row>
    <row r="31" spans="1:7">
      <c r="A31" s="50" t="s">
        <v>619</v>
      </c>
      <c r="B31" s="1" t="s">
        <v>591</v>
      </c>
      <c r="C31"/>
      <c r="D31" s="45" t="str">
        <f t="shared" si="0"/>
        <v/>
      </c>
      <c r="E31" s="1"/>
      <c r="G31" s="55" t="str">
        <f t="shared" si="1"/>
        <v/>
      </c>
    </row>
    <row r="32" spans="1:7">
      <c r="A32" s="41" t="s">
        <v>620</v>
      </c>
      <c r="B32" s="1" t="s">
        <v>578</v>
      </c>
      <c r="C32" t="s">
        <v>836</v>
      </c>
      <c r="D32" s="45" t="str">
        <f t="shared" si="0"/>
        <v>http://www.hug-globalkidsmethod05.link/hug/wm/actual_cost_management.php</v>
      </c>
      <c r="E32" t="s">
        <v>847</v>
      </c>
      <c r="F32" s="1" t="s">
        <v>849</v>
      </c>
      <c r="G32" s="55" t="str">
        <f t="shared" si="1"/>
        <v>https://www.hug-globalkidsmethod05.link/hug/wm/attendance.php?mode=detail&amp;f_id=4&amp;date=2026-05-10</v>
      </c>
    </row>
    <row r="33" spans="1:7">
      <c r="A33" s="50" t="s">
        <v>621</v>
      </c>
      <c r="B33" s="1" t="s">
        <v>591</v>
      </c>
      <c r="C33"/>
      <c r="D33" s="45" t="str">
        <f t="shared" si="0"/>
        <v/>
      </c>
      <c r="E33" s="1"/>
      <c r="G33" s="55" t="str">
        <f t="shared" si="1"/>
        <v/>
      </c>
    </row>
    <row r="34" spans="1:7">
      <c r="A34" s="47" t="s">
        <v>622</v>
      </c>
      <c r="B34" s="1" t="s">
        <v>575</v>
      </c>
      <c r="C34" t="s">
        <v>834</v>
      </c>
      <c r="D34" s="45" t="str">
        <f t="shared" si="0"/>
        <v>http://www.hug-globalkidsmethod.link/hug/wm/actual_cost_management.php</v>
      </c>
      <c r="E34" t="s">
        <v>843</v>
      </c>
      <c r="F34" s="1" t="s">
        <v>849</v>
      </c>
      <c r="G34" s="55" t="str">
        <f t="shared" si="1"/>
        <v>https://www.hug-globalkidsmethod.link/hug/wm/attendance.php?mode=detail&amp;f_id=4&amp;date=2026-05-10</v>
      </c>
    </row>
    <row r="35" spans="1:7">
      <c r="A35" s="1" t="s">
        <v>623</v>
      </c>
      <c r="B35" s="1" t="s">
        <v>575</v>
      </c>
      <c r="C35" t="s">
        <v>834</v>
      </c>
      <c r="D35" s="45" t="str">
        <f t="shared" si="0"/>
        <v>http://www.hug-globalkidsmethod.link/hug/wm/actual_cost_management.php</v>
      </c>
      <c r="E35" t="s">
        <v>843</v>
      </c>
      <c r="F35" s="1" t="s">
        <v>849</v>
      </c>
      <c r="G35" s="55" t="str">
        <f t="shared" si="1"/>
        <v>https://www.hug-globalkidsmethod.link/hug/wm/attendance.php?mode=detail&amp;f_id=4&amp;date=2026-05-10</v>
      </c>
    </row>
    <row r="36" spans="1:7">
      <c r="A36" s="50" t="s">
        <v>624</v>
      </c>
      <c r="B36" s="1" t="s">
        <v>591</v>
      </c>
      <c r="C36"/>
      <c r="D36" s="45" t="str">
        <f t="shared" si="0"/>
        <v/>
      </c>
      <c r="E36" s="1"/>
      <c r="G36" s="55" t="str">
        <f t="shared" si="1"/>
        <v/>
      </c>
    </row>
    <row r="37" spans="1:7">
      <c r="A37" s="41" t="s">
        <v>625</v>
      </c>
      <c r="B37" s="1" t="s">
        <v>578</v>
      </c>
      <c r="C37" t="s">
        <v>836</v>
      </c>
      <c r="D37" s="45" t="str">
        <f t="shared" si="0"/>
        <v>http://www.hug-globalkidsmethod05.link/hug/wm/actual_cost_management.php</v>
      </c>
      <c r="E37" t="s">
        <v>847</v>
      </c>
      <c r="F37" s="1" t="s">
        <v>849</v>
      </c>
      <c r="G37" s="55" t="str">
        <f t="shared" si="1"/>
        <v>https://www.hug-globalkidsmethod05.link/hug/wm/attendance.php?mode=detail&amp;f_id=4&amp;date=2026-05-10</v>
      </c>
    </row>
    <row r="38" spans="1:7">
      <c r="A38" s="51" t="s">
        <v>626</v>
      </c>
      <c r="B38" s="1" t="s">
        <v>591</v>
      </c>
      <c r="C38"/>
      <c r="D38" s="45" t="str">
        <f t="shared" si="0"/>
        <v/>
      </c>
      <c r="E38" s="1"/>
      <c r="G38" s="55" t="str">
        <f t="shared" si="1"/>
        <v/>
      </c>
    </row>
    <row r="39" spans="1:7">
      <c r="A39" s="44" t="s">
        <v>627</v>
      </c>
      <c r="B39" s="1" t="s">
        <v>579</v>
      </c>
      <c r="C39" t="s">
        <v>832</v>
      </c>
      <c r="D39" s="45" t="str">
        <f t="shared" si="0"/>
        <v>http://www.hug-globalkidsmethod06.link/hug/wm/actual_cost_management.php</v>
      </c>
      <c r="E39" t="s">
        <v>848</v>
      </c>
      <c r="F39" s="1" t="s">
        <v>849</v>
      </c>
      <c r="G39" s="55" t="str">
        <f t="shared" si="1"/>
        <v>https://www.hug-globalkidsmethod06.link/hug/wm/attendance.php?mode=detail&amp;f_id=4&amp;date=2026-05-10</v>
      </c>
    </row>
    <row r="40" spans="1:7">
      <c r="A40" s="44" t="s">
        <v>628</v>
      </c>
      <c r="B40" s="1" t="s">
        <v>579</v>
      </c>
      <c r="C40" t="s">
        <v>832</v>
      </c>
      <c r="D40" s="45" t="str">
        <f t="shared" si="0"/>
        <v>http://www.hug-globalkidsmethod06.link/hug/wm/actual_cost_management.php</v>
      </c>
      <c r="E40" t="s">
        <v>848</v>
      </c>
      <c r="F40" s="1" t="s">
        <v>849</v>
      </c>
      <c r="G40" s="55" t="str">
        <f t="shared" si="1"/>
        <v>https://www.hug-globalkidsmethod06.link/hug/wm/attendance.php?mode=detail&amp;f_id=4&amp;date=2026-05-10</v>
      </c>
    </row>
    <row r="41" spans="1:7">
      <c r="A41" s="51" t="s">
        <v>629</v>
      </c>
      <c r="B41" s="1" t="s">
        <v>591</v>
      </c>
      <c r="C41"/>
      <c r="D41" s="45" t="str">
        <f t="shared" si="0"/>
        <v/>
      </c>
      <c r="E41" s="1"/>
      <c r="G41" s="55" t="str">
        <f t="shared" si="1"/>
        <v/>
      </c>
    </row>
    <row r="42" spans="1:7">
      <c r="A42" s="47" t="s">
        <v>630</v>
      </c>
      <c r="B42" s="1" t="s">
        <v>575</v>
      </c>
      <c r="C42" t="s">
        <v>834</v>
      </c>
      <c r="D42" s="45" t="str">
        <f t="shared" si="0"/>
        <v>http://www.hug-globalkidsmethod.link/hug/wm/actual_cost_management.php</v>
      </c>
      <c r="E42" t="s">
        <v>843</v>
      </c>
      <c r="F42" s="1" t="s">
        <v>849</v>
      </c>
      <c r="G42" s="55" t="str">
        <f t="shared" si="1"/>
        <v>https://www.hug-globalkidsmethod.link/hug/wm/attendance.php?mode=detail&amp;f_id=4&amp;date=2026-05-10</v>
      </c>
    </row>
    <row r="43" spans="1:7">
      <c r="A43" s="51" t="s">
        <v>631</v>
      </c>
      <c r="B43" s="1" t="s">
        <v>591</v>
      </c>
      <c r="C43"/>
      <c r="D43" s="45" t="str">
        <f t="shared" si="0"/>
        <v/>
      </c>
      <c r="E43" s="1"/>
      <c r="G43" s="55" t="str">
        <f t="shared" si="1"/>
        <v/>
      </c>
    </row>
    <row r="44" spans="1:7">
      <c r="A44" s="41" t="s">
        <v>632</v>
      </c>
      <c r="B44" s="1" t="s">
        <v>578</v>
      </c>
      <c r="C44" t="s">
        <v>836</v>
      </c>
      <c r="D44" s="45" t="str">
        <f t="shared" si="0"/>
        <v>http://www.hug-globalkidsmethod05.link/hug/wm/actual_cost_management.php</v>
      </c>
      <c r="E44" t="s">
        <v>847</v>
      </c>
      <c r="F44" s="1" t="s">
        <v>849</v>
      </c>
      <c r="G44" s="55" t="str">
        <f t="shared" si="1"/>
        <v>https://www.hug-globalkidsmethod05.link/hug/wm/attendance.php?mode=detail&amp;f_id=4&amp;date=2026-05-10</v>
      </c>
    </row>
    <row r="45" spans="1:7">
      <c r="A45" s="41" t="s">
        <v>633</v>
      </c>
      <c r="B45" s="1" t="s">
        <v>578</v>
      </c>
      <c r="C45" t="s">
        <v>836</v>
      </c>
      <c r="D45" s="45" t="str">
        <f t="shared" si="0"/>
        <v>http://www.hug-globalkidsmethod05.link/hug/wm/actual_cost_management.php</v>
      </c>
      <c r="E45" t="s">
        <v>847</v>
      </c>
      <c r="F45" s="1" t="s">
        <v>849</v>
      </c>
      <c r="G45" s="55" t="str">
        <f t="shared" si="1"/>
        <v>https://www.hug-globalkidsmethod05.link/hug/wm/attendance.php?mode=detail&amp;f_id=4&amp;date=2026-05-10</v>
      </c>
    </row>
    <row r="46" spans="1:7">
      <c r="A46" s="51" t="s">
        <v>634</v>
      </c>
      <c r="B46" s="1" t="s">
        <v>591</v>
      </c>
      <c r="C46"/>
      <c r="D46" s="45" t="str">
        <f t="shared" si="0"/>
        <v/>
      </c>
      <c r="E46" s="1"/>
      <c r="G46" s="55" t="str">
        <f t="shared" si="1"/>
        <v/>
      </c>
    </row>
    <row r="47" spans="1:7">
      <c r="A47" s="47" t="s">
        <v>635</v>
      </c>
      <c r="B47" s="1" t="s">
        <v>575</v>
      </c>
      <c r="C47" t="s">
        <v>834</v>
      </c>
      <c r="D47" s="45" t="str">
        <f t="shared" si="0"/>
        <v>http://www.hug-globalkidsmethod.link/hug/wm/actual_cost_management.php</v>
      </c>
      <c r="E47" t="s">
        <v>843</v>
      </c>
      <c r="F47" s="1" t="s">
        <v>849</v>
      </c>
      <c r="G47" s="55" t="str">
        <f t="shared" si="1"/>
        <v>https://www.hug-globalkidsmethod.link/hug/wm/attendance.php?mode=detail&amp;f_id=4&amp;date=2026-05-10</v>
      </c>
    </row>
    <row r="48" spans="1:7">
      <c r="A48" s="51" t="s">
        <v>636</v>
      </c>
      <c r="B48" s="1" t="s">
        <v>591</v>
      </c>
      <c r="C48"/>
      <c r="D48" s="45" t="str">
        <f t="shared" si="0"/>
        <v/>
      </c>
      <c r="E48" s="1"/>
      <c r="G48" s="55" t="str">
        <f t="shared" si="1"/>
        <v/>
      </c>
    </row>
    <row r="49" spans="1:7">
      <c r="A49" s="47" t="s">
        <v>637</v>
      </c>
      <c r="B49" s="1" t="s">
        <v>575</v>
      </c>
      <c r="C49" s="34" t="s">
        <v>834</v>
      </c>
      <c r="D49" s="45" t="str">
        <f t="shared" si="0"/>
        <v>http://www.hug-globalkidsmethod.link/hug/wm/actual_cost_management.php</v>
      </c>
      <c r="E49" t="s">
        <v>843</v>
      </c>
      <c r="F49" s="1" t="s">
        <v>849</v>
      </c>
      <c r="G49" s="55" t="str">
        <f t="shared" si="1"/>
        <v>https://www.hug-globalkidsmethod.link/hug/wm/attendance.php?mode=detail&amp;f_id=4&amp;date=2026-05-10</v>
      </c>
    </row>
    <row r="50" spans="1:7">
      <c r="A50" s="44" t="s">
        <v>638</v>
      </c>
      <c r="B50" s="1" t="s">
        <v>579</v>
      </c>
      <c r="C50" t="s">
        <v>832</v>
      </c>
      <c r="D50" s="45" t="str">
        <f t="shared" si="0"/>
        <v>http://www.hug-globalkidsmethod06.link/hug/wm/actual_cost_management.php</v>
      </c>
      <c r="E50" t="s">
        <v>848</v>
      </c>
      <c r="F50" s="1" t="s">
        <v>849</v>
      </c>
      <c r="G50" s="55" t="str">
        <f t="shared" si="1"/>
        <v>https://www.hug-globalkidsmethod06.link/hug/wm/attendance.php?mode=detail&amp;f_id=4&amp;date=2026-05-10</v>
      </c>
    </row>
    <row r="51" spans="1:7">
      <c r="A51" s="47" t="s">
        <v>639</v>
      </c>
      <c r="B51" s="1" t="s">
        <v>575</v>
      </c>
      <c r="C51" t="s">
        <v>834</v>
      </c>
      <c r="D51" s="45" t="str">
        <f t="shared" si="0"/>
        <v>http://www.hug-globalkidsmethod.link/hug/wm/actual_cost_management.php</v>
      </c>
      <c r="E51" t="s">
        <v>843</v>
      </c>
      <c r="F51" s="1" t="s">
        <v>849</v>
      </c>
      <c r="G51" s="55" t="str">
        <f t="shared" si="1"/>
        <v>https://www.hug-globalkidsmethod.link/hug/wm/attendance.php?mode=detail&amp;f_id=4&amp;date=2026-05-10</v>
      </c>
    </row>
    <row r="52" spans="1:7">
      <c r="A52" s="47" t="s">
        <v>640</v>
      </c>
      <c r="B52" s="1" t="s">
        <v>575</v>
      </c>
      <c r="C52" t="s">
        <v>834</v>
      </c>
      <c r="D52" s="45" t="str">
        <f t="shared" si="0"/>
        <v>http://www.hug-globalkidsmethod.link/hug/wm/actual_cost_management.php</v>
      </c>
      <c r="E52" t="s">
        <v>843</v>
      </c>
      <c r="F52" s="1" t="s">
        <v>849</v>
      </c>
      <c r="G52" s="55" t="str">
        <f t="shared" si="1"/>
        <v>https://www.hug-globalkidsmethod.link/hug/wm/attendance.php?mode=detail&amp;f_id=4&amp;date=2026-05-10</v>
      </c>
    </row>
    <row r="53" spans="1:7">
      <c r="A53" s="47" t="s">
        <v>641</v>
      </c>
      <c r="B53" s="1" t="s">
        <v>575</v>
      </c>
      <c r="C53" t="s">
        <v>834</v>
      </c>
      <c r="D53" s="45" t="str">
        <f t="shared" si="0"/>
        <v>http://www.hug-globalkidsmethod.link/hug/wm/actual_cost_management.php</v>
      </c>
      <c r="E53" t="s">
        <v>843</v>
      </c>
      <c r="F53" s="1" t="s">
        <v>849</v>
      </c>
      <c r="G53" s="55" t="str">
        <f t="shared" si="1"/>
        <v>https://www.hug-globalkidsmethod.link/hug/wm/attendance.php?mode=detail&amp;f_id=4&amp;date=2026-05-10</v>
      </c>
    </row>
    <row r="54" spans="1:7">
      <c r="A54" s="44" t="s">
        <v>642</v>
      </c>
      <c r="B54" s="1" t="s">
        <v>579</v>
      </c>
      <c r="C54" t="s">
        <v>832</v>
      </c>
      <c r="D54" s="45" t="str">
        <f t="shared" si="0"/>
        <v>http://www.hug-globalkidsmethod06.link/hug/wm/actual_cost_management.php</v>
      </c>
      <c r="E54" t="s">
        <v>848</v>
      </c>
      <c r="F54" s="1" t="s">
        <v>849</v>
      </c>
      <c r="G54" s="55" t="str">
        <f t="shared" si="1"/>
        <v>https://www.hug-globalkidsmethod06.link/hug/wm/attendance.php?mode=detail&amp;f_id=4&amp;date=2026-05-10</v>
      </c>
    </row>
    <row r="55" spans="1:7">
      <c r="A55" s="41" t="s">
        <v>643</v>
      </c>
      <c r="B55" s="1" t="s">
        <v>578</v>
      </c>
      <c r="C55" t="s">
        <v>836</v>
      </c>
      <c r="D55" s="45" t="str">
        <f t="shared" si="0"/>
        <v>http://www.hug-globalkidsmethod05.link/hug/wm/actual_cost_management.php</v>
      </c>
      <c r="E55" t="s">
        <v>847</v>
      </c>
      <c r="F55" s="1" t="s">
        <v>849</v>
      </c>
      <c r="G55" s="55" t="str">
        <f t="shared" si="1"/>
        <v>https://www.hug-globalkidsmethod05.link/hug/wm/attendance.php?mode=detail&amp;f_id=4&amp;date=2026-05-10</v>
      </c>
    </row>
    <row r="56" spans="1:7">
      <c r="A56" s="47" t="s">
        <v>644</v>
      </c>
      <c r="B56" s="1" t="s">
        <v>575</v>
      </c>
      <c r="C56" t="s">
        <v>834</v>
      </c>
      <c r="D56" s="45" t="str">
        <f t="shared" si="0"/>
        <v>http://www.hug-globalkidsmethod.link/hug/wm/actual_cost_management.php</v>
      </c>
      <c r="E56" t="s">
        <v>843</v>
      </c>
      <c r="F56" s="1" t="s">
        <v>849</v>
      </c>
      <c r="G56" s="55" t="str">
        <f t="shared" si="1"/>
        <v>https://www.hug-globalkidsmethod.link/hug/wm/attendance.php?mode=detail&amp;f_id=4&amp;date=2026-05-10</v>
      </c>
    </row>
    <row r="57" spans="1:7">
      <c r="A57" s="47" t="s">
        <v>645</v>
      </c>
      <c r="B57" s="1" t="s">
        <v>575</v>
      </c>
      <c r="C57" t="s">
        <v>834</v>
      </c>
      <c r="D57" s="45" t="str">
        <f t="shared" si="0"/>
        <v>http://www.hug-globalkidsmethod.link/hug/wm/actual_cost_management.php</v>
      </c>
      <c r="E57" t="s">
        <v>843</v>
      </c>
      <c r="F57" s="1" t="s">
        <v>849</v>
      </c>
      <c r="G57" s="55" t="str">
        <f t="shared" si="1"/>
        <v>https://www.hug-globalkidsmethod.link/hug/wm/attendance.php?mode=detail&amp;f_id=4&amp;date=2026-05-10</v>
      </c>
    </row>
    <row r="58" spans="1:7">
      <c r="A58" s="41" t="s">
        <v>646</v>
      </c>
      <c r="B58" s="1" t="s">
        <v>578</v>
      </c>
      <c r="C58" t="s">
        <v>836</v>
      </c>
      <c r="D58" s="45" t="str">
        <f t="shared" si="0"/>
        <v>http://www.hug-globalkidsmethod05.link/hug/wm/actual_cost_management.php</v>
      </c>
      <c r="E58" t="s">
        <v>847</v>
      </c>
      <c r="F58" s="1" t="s">
        <v>849</v>
      </c>
      <c r="G58" s="55" t="str">
        <f t="shared" si="1"/>
        <v>https://www.hug-globalkidsmethod05.link/hug/wm/attendance.php?mode=detail&amp;f_id=4&amp;date=2026-05-10</v>
      </c>
    </row>
    <row r="59" spans="1:7">
      <c r="A59" s="41" t="s">
        <v>647</v>
      </c>
      <c r="B59" s="1" t="s">
        <v>578</v>
      </c>
      <c r="C59" t="s">
        <v>836</v>
      </c>
      <c r="D59" s="45" t="str">
        <f t="shared" si="0"/>
        <v>http://www.hug-globalkidsmethod05.link/hug/wm/actual_cost_management.php</v>
      </c>
      <c r="E59" t="s">
        <v>847</v>
      </c>
      <c r="F59" s="1" t="s">
        <v>849</v>
      </c>
      <c r="G59" s="55" t="str">
        <f t="shared" si="1"/>
        <v>https://www.hug-globalkidsmethod05.link/hug/wm/attendance.php?mode=detail&amp;f_id=4&amp;date=2026-05-10</v>
      </c>
    </row>
    <row r="60" spans="1:7">
      <c r="A60" s="41" t="s">
        <v>648</v>
      </c>
      <c r="B60" s="1" t="s">
        <v>578</v>
      </c>
      <c r="C60" t="s">
        <v>824</v>
      </c>
      <c r="D60" s="45" t="str">
        <f t="shared" si="0"/>
        <v>https://www.hug-globalkidsmethod05.link/hug/wm/actual_cost_management.php</v>
      </c>
      <c r="E60" t="s">
        <v>847</v>
      </c>
      <c r="F60" s="1" t="s">
        <v>849</v>
      </c>
      <c r="G60" s="55" t="str">
        <f t="shared" si="1"/>
        <v>https://www.hug-globalkidsmethod05.link/hug/wm/attendance.php?mode=detail&amp;f_id=4&amp;date=2026-05-10</v>
      </c>
    </row>
    <row r="61" spans="1:7">
      <c r="A61" s="47" t="s">
        <v>649</v>
      </c>
      <c r="B61" s="1" t="s">
        <v>575</v>
      </c>
      <c r="C61" s="45" t="s">
        <v>840</v>
      </c>
      <c r="D61" s="45" t="str">
        <f t="shared" si="0"/>
        <v>https://www.hug-globalkidsmethod.link/hug/wm/actual_cost_management.php</v>
      </c>
      <c r="E61" t="s">
        <v>843</v>
      </c>
      <c r="F61" s="1" t="s">
        <v>849</v>
      </c>
      <c r="G61" s="55" t="str">
        <f t="shared" si="1"/>
        <v>https://www.hug-globalkidsmethod.link/hug/wm/attendance.php?mode=detail&amp;f_id=4&amp;date=2026-05-10</v>
      </c>
    </row>
    <row r="62" spans="1:7">
      <c r="A62" s="47" t="s">
        <v>650</v>
      </c>
      <c r="B62" s="1" t="s">
        <v>575</v>
      </c>
      <c r="C62" t="s">
        <v>825</v>
      </c>
      <c r="D62" s="45" t="str">
        <f t="shared" ref="D62:D118" si="2">HYPERLINK(C62)</f>
        <v>https://www.hug-globalkidsmethod.link/hug/wm/actual_cost_management.php</v>
      </c>
      <c r="E62" t="s">
        <v>843</v>
      </c>
      <c r="F62" s="1" t="s">
        <v>849</v>
      </c>
      <c r="G62" s="55" t="str">
        <f t="shared" si="1"/>
        <v>https://www.hug-globalkidsmethod.link/hug/wm/attendance.php?mode=detail&amp;f_id=4&amp;date=2026-05-10</v>
      </c>
    </row>
    <row r="63" spans="1:7">
      <c r="A63" s="47" t="s">
        <v>651</v>
      </c>
      <c r="B63" s="1" t="s">
        <v>575</v>
      </c>
      <c r="C63" t="s">
        <v>825</v>
      </c>
      <c r="D63" s="45" t="str">
        <f t="shared" si="2"/>
        <v>https://www.hug-globalkidsmethod.link/hug/wm/actual_cost_management.php</v>
      </c>
      <c r="E63" t="s">
        <v>843</v>
      </c>
      <c r="F63" s="1" t="s">
        <v>849</v>
      </c>
      <c r="G63" s="55" t="str">
        <f t="shared" si="1"/>
        <v>https://www.hug-globalkidsmethod.link/hug/wm/attendance.php?mode=detail&amp;f_id=4&amp;date=2026-05-10</v>
      </c>
    </row>
    <row r="64" spans="1:7">
      <c r="A64" s="47" t="s">
        <v>652</v>
      </c>
      <c r="B64" s="1" t="s">
        <v>575</v>
      </c>
      <c r="C64" t="s">
        <v>825</v>
      </c>
      <c r="D64" s="45" t="str">
        <f t="shared" si="2"/>
        <v>https://www.hug-globalkidsmethod.link/hug/wm/actual_cost_management.php</v>
      </c>
      <c r="E64" t="s">
        <v>843</v>
      </c>
      <c r="F64" s="1" t="s">
        <v>849</v>
      </c>
      <c r="G64" s="55" t="str">
        <f t="shared" si="1"/>
        <v>https://www.hug-globalkidsmethod.link/hug/wm/attendance.php?mode=detail&amp;f_id=4&amp;date=2026-05-10</v>
      </c>
    </row>
    <row r="65" spans="1:7">
      <c r="A65" s="47" t="s">
        <v>653</v>
      </c>
      <c r="B65" s="1" t="s">
        <v>575</v>
      </c>
      <c r="C65" t="s">
        <v>825</v>
      </c>
      <c r="D65" s="45" t="str">
        <f t="shared" si="2"/>
        <v>https://www.hug-globalkidsmethod.link/hug/wm/actual_cost_management.php</v>
      </c>
      <c r="E65" t="s">
        <v>843</v>
      </c>
      <c r="F65" s="1" t="s">
        <v>849</v>
      </c>
      <c r="G65" s="55" t="str">
        <f t="shared" si="1"/>
        <v>https://www.hug-globalkidsmethod.link/hug/wm/attendance.php?mode=detail&amp;f_id=4&amp;date=2026-05-10</v>
      </c>
    </row>
    <row r="66" spans="1:7">
      <c r="A66" s="47" t="s">
        <v>654</v>
      </c>
      <c r="B66" s="1" t="s">
        <v>575</v>
      </c>
      <c r="C66" t="s">
        <v>585</v>
      </c>
      <c r="D66" s="45" t="str">
        <f t="shared" si="2"/>
        <v>http://www.hug-globalkidsmethod.link/hug/wm/</v>
      </c>
      <c r="E66" t="s">
        <v>843</v>
      </c>
      <c r="F66" s="1" t="s">
        <v>849</v>
      </c>
      <c r="G66" s="55" t="str">
        <f t="shared" si="1"/>
        <v>https://www.hug-globalkidsmethod.link/hug/wm/attendance.php?mode=detail&amp;f_id=4&amp;date=2026-05-10</v>
      </c>
    </row>
    <row r="67" spans="1:7">
      <c r="A67" s="47" t="s">
        <v>655</v>
      </c>
      <c r="B67" s="1" t="s">
        <v>575</v>
      </c>
      <c r="C67" t="s">
        <v>585</v>
      </c>
      <c r="D67" s="45" t="str">
        <f t="shared" si="2"/>
        <v>http://www.hug-globalkidsmethod.link/hug/wm/</v>
      </c>
      <c r="E67" t="s">
        <v>843</v>
      </c>
      <c r="F67" s="1" t="s">
        <v>849</v>
      </c>
      <c r="G67" s="55" t="str">
        <f t="shared" ref="G67:G130" si="3">HYPERLINK(E67&amp;F67)</f>
        <v>https://www.hug-globalkidsmethod.link/hug/wm/attendance.php?mode=detail&amp;f_id=4&amp;date=2026-05-10</v>
      </c>
    </row>
    <row r="68" spans="1:7">
      <c r="A68" s="44" t="s">
        <v>656</v>
      </c>
      <c r="B68" s="1" t="s">
        <v>579</v>
      </c>
      <c r="C68" t="s">
        <v>826</v>
      </c>
      <c r="D68" s="45" t="str">
        <f t="shared" si="2"/>
        <v>https://www.hug-globalkidsmethod06.link/hug/wm/actual_cost_management.php</v>
      </c>
      <c r="E68" t="s">
        <v>848</v>
      </c>
      <c r="F68" s="1" t="s">
        <v>849</v>
      </c>
      <c r="G68" s="55" t="str">
        <f t="shared" si="3"/>
        <v>https://www.hug-globalkidsmethod06.link/hug/wm/attendance.php?mode=detail&amp;f_id=4&amp;date=2026-05-10</v>
      </c>
    </row>
    <row r="69" spans="1:7">
      <c r="A69" s="47" t="s">
        <v>657</v>
      </c>
      <c r="B69" s="1" t="s">
        <v>575</v>
      </c>
      <c r="C69" t="s">
        <v>825</v>
      </c>
      <c r="D69" s="45" t="str">
        <f t="shared" si="2"/>
        <v>https://www.hug-globalkidsmethod.link/hug/wm/actual_cost_management.php</v>
      </c>
      <c r="E69" t="s">
        <v>843</v>
      </c>
      <c r="F69" s="1" t="s">
        <v>849</v>
      </c>
      <c r="G69" s="55" t="str">
        <f t="shared" si="3"/>
        <v>https://www.hug-globalkidsmethod.link/hug/wm/attendance.php?mode=detail&amp;f_id=4&amp;date=2026-05-10</v>
      </c>
    </row>
    <row r="70" spans="1:7">
      <c r="A70" s="47" t="s">
        <v>658</v>
      </c>
      <c r="B70" s="1" t="s">
        <v>575</v>
      </c>
      <c r="C70" t="s">
        <v>827</v>
      </c>
      <c r="D70" s="45" t="str">
        <f t="shared" si="2"/>
        <v>https://www.hug-globalkidsmethod.link/hug/wm/actual_cost_management.php?mode=detail_list&amp;date=2026-04-25&amp;f_id=37</v>
      </c>
      <c r="E70" t="s">
        <v>843</v>
      </c>
      <c r="F70" s="1" t="s">
        <v>849</v>
      </c>
      <c r="G70" s="55" t="str">
        <f t="shared" si="3"/>
        <v>https://www.hug-globalkidsmethod.link/hug/wm/attendance.php?mode=detail&amp;f_id=4&amp;date=2026-05-10</v>
      </c>
    </row>
    <row r="71" spans="1:7">
      <c r="A71" s="41" t="s">
        <v>310</v>
      </c>
      <c r="B71" s="1" t="s">
        <v>578</v>
      </c>
      <c r="C71" t="s">
        <v>824</v>
      </c>
      <c r="D71" s="45" t="str">
        <f t="shared" si="2"/>
        <v>https://www.hug-globalkidsmethod05.link/hug/wm/actual_cost_management.php</v>
      </c>
      <c r="E71" t="s">
        <v>847</v>
      </c>
      <c r="F71" s="1" t="s">
        <v>849</v>
      </c>
      <c r="G71" s="55" t="str">
        <f t="shared" si="3"/>
        <v>https://www.hug-globalkidsmethod05.link/hug/wm/attendance.php?mode=detail&amp;f_id=4&amp;date=2026-05-10</v>
      </c>
    </row>
    <row r="72" spans="1:7">
      <c r="A72" s="41" t="s">
        <v>659</v>
      </c>
      <c r="B72" s="1" t="s">
        <v>578</v>
      </c>
      <c r="C72" t="s">
        <v>824</v>
      </c>
      <c r="D72" s="45" t="str">
        <f t="shared" si="2"/>
        <v>https://www.hug-globalkidsmethod05.link/hug/wm/actual_cost_management.php</v>
      </c>
      <c r="E72" t="s">
        <v>847</v>
      </c>
      <c r="F72" s="1" t="s">
        <v>849</v>
      </c>
      <c r="G72" s="55" t="str">
        <f t="shared" si="3"/>
        <v>https://www.hug-globalkidsmethod05.link/hug/wm/attendance.php?mode=detail&amp;f_id=4&amp;date=2026-05-10</v>
      </c>
    </row>
    <row r="73" spans="1:7">
      <c r="A73" s="47" t="s">
        <v>660</v>
      </c>
      <c r="B73" s="1" t="s">
        <v>575</v>
      </c>
      <c r="C73" t="s">
        <v>825</v>
      </c>
      <c r="D73" s="45" t="str">
        <f t="shared" si="2"/>
        <v>https://www.hug-globalkidsmethod.link/hug/wm/actual_cost_management.php</v>
      </c>
      <c r="E73" t="s">
        <v>843</v>
      </c>
      <c r="F73" s="1" t="s">
        <v>849</v>
      </c>
      <c r="G73" s="55" t="str">
        <f t="shared" si="3"/>
        <v>https://www.hug-globalkidsmethod.link/hug/wm/attendance.php?mode=detail&amp;f_id=4&amp;date=2026-05-10</v>
      </c>
    </row>
    <row r="74" spans="1:7">
      <c r="A74" s="41" t="s">
        <v>661</v>
      </c>
      <c r="B74" s="1" t="s">
        <v>578</v>
      </c>
      <c r="C74" t="s">
        <v>824</v>
      </c>
      <c r="D74" s="45" t="str">
        <f t="shared" si="2"/>
        <v>https://www.hug-globalkidsmethod05.link/hug/wm/actual_cost_management.php</v>
      </c>
      <c r="E74" t="s">
        <v>847</v>
      </c>
      <c r="F74" s="1" t="s">
        <v>849</v>
      </c>
      <c r="G74" s="55" t="str">
        <f t="shared" si="3"/>
        <v>https://www.hug-globalkidsmethod05.link/hug/wm/attendance.php?mode=detail&amp;f_id=4&amp;date=2026-05-10</v>
      </c>
    </row>
    <row r="75" spans="1:7">
      <c r="A75" s="41" t="s">
        <v>662</v>
      </c>
      <c r="B75" s="1" t="s">
        <v>578</v>
      </c>
      <c r="C75" s="34" t="s">
        <v>828</v>
      </c>
      <c r="D75" s="45" t="str">
        <f t="shared" si="2"/>
        <v>HUGになし</v>
      </c>
      <c r="E75" t="s">
        <v>847</v>
      </c>
      <c r="F75" s="1" t="s">
        <v>849</v>
      </c>
      <c r="G75" s="55" t="str">
        <f t="shared" si="3"/>
        <v>https://www.hug-globalkidsmethod05.link/hug/wm/attendance.php?mode=detail&amp;f_id=4&amp;date=2026-05-10</v>
      </c>
    </row>
    <row r="76" spans="1:7">
      <c r="A76" s="41" t="s">
        <v>663</v>
      </c>
      <c r="B76" s="1" t="s">
        <v>578</v>
      </c>
      <c r="C76" t="s">
        <v>824</v>
      </c>
      <c r="D76" s="45" t="str">
        <f t="shared" si="2"/>
        <v>https://www.hug-globalkidsmethod05.link/hug/wm/actual_cost_management.php</v>
      </c>
      <c r="E76" t="s">
        <v>847</v>
      </c>
      <c r="F76" s="1" t="s">
        <v>849</v>
      </c>
      <c r="G76" s="55" t="str">
        <f t="shared" si="3"/>
        <v>https://www.hug-globalkidsmethod05.link/hug/wm/attendance.php?mode=detail&amp;f_id=4&amp;date=2026-05-10</v>
      </c>
    </row>
    <row r="77" spans="1:7">
      <c r="A77" s="41" t="s">
        <v>664</v>
      </c>
      <c r="B77" s="1" t="s">
        <v>578</v>
      </c>
      <c r="C77" t="s">
        <v>829</v>
      </c>
      <c r="D77" s="45" t="str">
        <f t="shared" si="2"/>
        <v>https://www.hug-globalkidsmethod05.link/hug/wm/actual_cost_management.php</v>
      </c>
      <c r="E77" t="s">
        <v>847</v>
      </c>
      <c r="F77" s="1" t="s">
        <v>849</v>
      </c>
      <c r="G77" s="55" t="str">
        <f t="shared" si="3"/>
        <v>https://www.hug-globalkidsmethod05.link/hug/wm/attendance.php?mode=detail&amp;f_id=4&amp;date=2026-05-10</v>
      </c>
    </row>
    <row r="78" spans="1:7">
      <c r="A78" s="47" t="s">
        <v>665</v>
      </c>
      <c r="B78" s="1" t="s">
        <v>575</v>
      </c>
      <c r="C78" t="s">
        <v>834</v>
      </c>
      <c r="D78" s="45" t="str">
        <f t="shared" si="2"/>
        <v>http://www.hug-globalkidsmethod.link/hug/wm/actual_cost_management.php</v>
      </c>
      <c r="E78" t="s">
        <v>843</v>
      </c>
      <c r="F78" s="1" t="s">
        <v>849</v>
      </c>
      <c r="G78" s="55" t="str">
        <f t="shared" si="3"/>
        <v>https://www.hug-globalkidsmethod.link/hug/wm/attendance.php?mode=detail&amp;f_id=4&amp;date=2026-05-10</v>
      </c>
    </row>
    <row r="79" spans="1:7">
      <c r="A79" s="47" t="s">
        <v>311</v>
      </c>
      <c r="B79" s="1" t="s">
        <v>575</v>
      </c>
      <c r="C79" t="s">
        <v>834</v>
      </c>
      <c r="D79" s="45" t="str">
        <f t="shared" si="2"/>
        <v>http://www.hug-globalkidsmethod.link/hug/wm/actual_cost_management.php</v>
      </c>
      <c r="E79" t="s">
        <v>843</v>
      </c>
      <c r="F79" s="1" t="s">
        <v>849</v>
      </c>
      <c r="G79" s="55" t="str">
        <f t="shared" si="3"/>
        <v>https://www.hug-globalkidsmethod.link/hug/wm/attendance.php?mode=detail&amp;f_id=4&amp;date=2026-05-10</v>
      </c>
    </row>
    <row r="80" spans="1:7">
      <c r="A80" s="47" t="s">
        <v>666</v>
      </c>
      <c r="B80" s="1" t="s">
        <v>575</v>
      </c>
      <c r="C80" t="s">
        <v>834</v>
      </c>
      <c r="D80" s="45" t="str">
        <f t="shared" si="2"/>
        <v>http://www.hug-globalkidsmethod.link/hug/wm/actual_cost_management.php</v>
      </c>
      <c r="E80" t="s">
        <v>843</v>
      </c>
      <c r="F80" s="1" t="s">
        <v>849</v>
      </c>
      <c r="G80" s="55" t="str">
        <f t="shared" si="3"/>
        <v>https://www.hug-globalkidsmethod.link/hug/wm/attendance.php?mode=detail&amp;f_id=4&amp;date=2026-05-10</v>
      </c>
    </row>
    <row r="81" spans="1:7">
      <c r="A81" s="47" t="s">
        <v>667</v>
      </c>
      <c r="B81" s="1" t="s">
        <v>575</v>
      </c>
      <c r="C81" t="s">
        <v>834</v>
      </c>
      <c r="D81" s="45" t="str">
        <f t="shared" si="2"/>
        <v>http://www.hug-globalkidsmethod.link/hug/wm/actual_cost_management.php</v>
      </c>
      <c r="E81" t="s">
        <v>843</v>
      </c>
      <c r="F81" s="1" t="s">
        <v>849</v>
      </c>
      <c r="G81" s="55" t="str">
        <f t="shared" si="3"/>
        <v>https://www.hug-globalkidsmethod.link/hug/wm/attendance.php?mode=detail&amp;f_id=4&amp;date=2026-05-10</v>
      </c>
    </row>
    <row r="82" spans="1:7">
      <c r="A82" s="47" t="s">
        <v>668</v>
      </c>
      <c r="B82" s="1" t="s">
        <v>575</v>
      </c>
      <c r="C82" t="s">
        <v>834</v>
      </c>
      <c r="D82" s="45" t="str">
        <f t="shared" si="2"/>
        <v>http://www.hug-globalkidsmethod.link/hug/wm/actual_cost_management.php</v>
      </c>
      <c r="E82" t="s">
        <v>843</v>
      </c>
      <c r="F82" s="1" t="s">
        <v>849</v>
      </c>
      <c r="G82" s="55" t="str">
        <f t="shared" si="3"/>
        <v>https://www.hug-globalkidsmethod.link/hug/wm/attendance.php?mode=detail&amp;f_id=4&amp;date=2026-05-10</v>
      </c>
    </row>
    <row r="83" spans="1:7">
      <c r="A83" s="44" t="s">
        <v>669</v>
      </c>
      <c r="B83" s="1" t="s">
        <v>579</v>
      </c>
      <c r="C83" t="s">
        <v>832</v>
      </c>
      <c r="D83" s="45" t="str">
        <f t="shared" si="2"/>
        <v>http://www.hug-globalkidsmethod06.link/hug/wm/actual_cost_management.php</v>
      </c>
      <c r="E83" t="s">
        <v>848</v>
      </c>
      <c r="F83" s="1" t="s">
        <v>849</v>
      </c>
      <c r="G83" s="55" t="str">
        <f t="shared" si="3"/>
        <v>https://www.hug-globalkidsmethod06.link/hug/wm/attendance.php?mode=detail&amp;f_id=4&amp;date=2026-05-10</v>
      </c>
    </row>
    <row r="84" spans="1:7">
      <c r="A84" s="44" t="s">
        <v>670</v>
      </c>
      <c r="B84" s="1" t="s">
        <v>579</v>
      </c>
      <c r="C84" t="s">
        <v>832</v>
      </c>
      <c r="D84" s="45" t="str">
        <f t="shared" si="2"/>
        <v>http://www.hug-globalkidsmethod06.link/hug/wm/actual_cost_management.php</v>
      </c>
      <c r="E84" t="s">
        <v>848</v>
      </c>
      <c r="F84" s="1" t="s">
        <v>849</v>
      </c>
      <c r="G84" s="55" t="str">
        <f t="shared" si="3"/>
        <v>https://www.hug-globalkidsmethod06.link/hug/wm/attendance.php?mode=detail&amp;f_id=4&amp;date=2026-05-10</v>
      </c>
    </row>
    <row r="85" spans="1:7">
      <c r="A85" s="44" t="s">
        <v>671</v>
      </c>
      <c r="B85" s="1" t="s">
        <v>579</v>
      </c>
      <c r="C85" t="s">
        <v>832</v>
      </c>
      <c r="D85" s="45" t="str">
        <f t="shared" si="2"/>
        <v>http://www.hug-globalkidsmethod06.link/hug/wm/actual_cost_management.php</v>
      </c>
      <c r="E85" t="s">
        <v>848</v>
      </c>
      <c r="F85" s="1" t="s">
        <v>849</v>
      </c>
      <c r="G85" s="55" t="str">
        <f t="shared" si="3"/>
        <v>https://www.hug-globalkidsmethod06.link/hug/wm/attendance.php?mode=detail&amp;f_id=4&amp;date=2026-05-10</v>
      </c>
    </row>
    <row r="86" spans="1:7">
      <c r="A86" s="41" t="s">
        <v>672</v>
      </c>
      <c r="B86" s="1" t="s">
        <v>578</v>
      </c>
      <c r="C86" t="s">
        <v>836</v>
      </c>
      <c r="D86" s="45" t="str">
        <f t="shared" si="2"/>
        <v>http://www.hug-globalkidsmethod05.link/hug/wm/actual_cost_management.php</v>
      </c>
      <c r="E86" t="s">
        <v>847</v>
      </c>
      <c r="F86" s="1" t="s">
        <v>849</v>
      </c>
      <c r="G86" s="55" t="str">
        <f t="shared" si="3"/>
        <v>https://www.hug-globalkidsmethod05.link/hug/wm/attendance.php?mode=detail&amp;f_id=4&amp;date=2026-05-10</v>
      </c>
    </row>
    <row r="87" spans="1:7">
      <c r="A87" s="47" t="s">
        <v>673</v>
      </c>
      <c r="B87" s="1" t="s">
        <v>575</v>
      </c>
      <c r="C87" t="s">
        <v>834</v>
      </c>
      <c r="D87" s="45" t="str">
        <f t="shared" si="2"/>
        <v>http://www.hug-globalkidsmethod.link/hug/wm/actual_cost_management.php</v>
      </c>
      <c r="E87" t="s">
        <v>843</v>
      </c>
      <c r="F87" s="1" t="s">
        <v>849</v>
      </c>
      <c r="G87" s="55" t="str">
        <f t="shared" si="3"/>
        <v>https://www.hug-globalkidsmethod.link/hug/wm/attendance.php?mode=detail&amp;f_id=4&amp;date=2026-05-10</v>
      </c>
    </row>
    <row r="88" spans="1:7">
      <c r="A88" s="47" t="s">
        <v>674</v>
      </c>
      <c r="B88" s="1" t="s">
        <v>575</v>
      </c>
      <c r="C88" t="s">
        <v>834</v>
      </c>
      <c r="D88" s="45" t="str">
        <f t="shared" si="2"/>
        <v>http://www.hug-globalkidsmethod.link/hug/wm/actual_cost_management.php</v>
      </c>
      <c r="E88" t="s">
        <v>843</v>
      </c>
      <c r="F88" s="1" t="s">
        <v>849</v>
      </c>
      <c r="G88" s="55" t="str">
        <f t="shared" si="3"/>
        <v>https://www.hug-globalkidsmethod.link/hug/wm/attendance.php?mode=detail&amp;f_id=4&amp;date=2026-05-10</v>
      </c>
    </row>
    <row r="89" spans="1:7">
      <c r="A89" s="47" t="s">
        <v>675</v>
      </c>
      <c r="B89" s="1" t="s">
        <v>575</v>
      </c>
      <c r="C89" t="s">
        <v>834</v>
      </c>
      <c r="D89" s="45" t="str">
        <f t="shared" si="2"/>
        <v>http://www.hug-globalkidsmethod.link/hug/wm/actual_cost_management.php</v>
      </c>
      <c r="E89" t="s">
        <v>843</v>
      </c>
      <c r="F89" s="1" t="s">
        <v>849</v>
      </c>
      <c r="G89" s="55" t="str">
        <f t="shared" si="3"/>
        <v>https://www.hug-globalkidsmethod.link/hug/wm/attendance.php?mode=detail&amp;f_id=4&amp;date=2026-05-10</v>
      </c>
    </row>
    <row r="90" spans="1:7">
      <c r="A90" s="41" t="s">
        <v>676</v>
      </c>
      <c r="B90" s="1" t="s">
        <v>578</v>
      </c>
      <c r="C90" t="s">
        <v>836</v>
      </c>
      <c r="D90" s="45" t="str">
        <f t="shared" si="2"/>
        <v>http://www.hug-globalkidsmethod05.link/hug/wm/actual_cost_management.php</v>
      </c>
      <c r="E90" t="s">
        <v>847</v>
      </c>
      <c r="F90" s="1" t="s">
        <v>849</v>
      </c>
      <c r="G90" s="55" t="str">
        <f t="shared" si="3"/>
        <v>https://www.hug-globalkidsmethod05.link/hug/wm/attendance.php?mode=detail&amp;f_id=4&amp;date=2026-05-10</v>
      </c>
    </row>
    <row r="91" spans="1:7">
      <c r="A91" s="47" t="s">
        <v>677</v>
      </c>
      <c r="B91" s="1" t="s">
        <v>575</v>
      </c>
      <c r="C91" t="s">
        <v>834</v>
      </c>
      <c r="D91" s="45" t="str">
        <f t="shared" si="2"/>
        <v>http://www.hug-globalkidsmethod.link/hug/wm/actual_cost_management.php</v>
      </c>
      <c r="E91" t="s">
        <v>843</v>
      </c>
      <c r="F91" s="1" t="s">
        <v>849</v>
      </c>
      <c r="G91" s="55" t="str">
        <f t="shared" si="3"/>
        <v>https://www.hug-globalkidsmethod.link/hug/wm/attendance.php?mode=detail&amp;f_id=4&amp;date=2026-05-10</v>
      </c>
    </row>
    <row r="92" spans="1:7">
      <c r="A92" s="44" t="s">
        <v>678</v>
      </c>
      <c r="B92" s="1" t="s">
        <v>579</v>
      </c>
      <c r="C92" t="s">
        <v>832</v>
      </c>
      <c r="D92" s="45" t="str">
        <f t="shared" si="2"/>
        <v>http://www.hug-globalkidsmethod06.link/hug/wm/actual_cost_management.php</v>
      </c>
      <c r="E92" t="s">
        <v>848</v>
      </c>
      <c r="F92" s="1" t="s">
        <v>849</v>
      </c>
      <c r="G92" s="55" t="str">
        <f t="shared" si="3"/>
        <v>https://www.hug-globalkidsmethod06.link/hug/wm/attendance.php?mode=detail&amp;f_id=4&amp;date=2026-05-10</v>
      </c>
    </row>
    <row r="93" spans="1:7">
      <c r="A93" s="41" t="s">
        <v>679</v>
      </c>
      <c r="B93" s="1" t="s">
        <v>578</v>
      </c>
      <c r="C93" t="s">
        <v>836</v>
      </c>
      <c r="D93" s="45" t="str">
        <f t="shared" si="2"/>
        <v>http://www.hug-globalkidsmethod05.link/hug/wm/actual_cost_management.php</v>
      </c>
      <c r="E93" t="s">
        <v>847</v>
      </c>
      <c r="F93" s="1" t="s">
        <v>849</v>
      </c>
      <c r="G93" s="55" t="str">
        <f t="shared" si="3"/>
        <v>https://www.hug-globalkidsmethod05.link/hug/wm/attendance.php?mode=detail&amp;f_id=4&amp;date=2026-05-10</v>
      </c>
    </row>
    <row r="94" spans="1:7">
      <c r="A94" s="43" t="s">
        <v>680</v>
      </c>
      <c r="B94" s="1" t="s">
        <v>580</v>
      </c>
      <c r="C94" t="s">
        <v>833</v>
      </c>
      <c r="D94" s="45" t="str">
        <f t="shared" si="2"/>
        <v>http://www.hug-globalkidsmethod02.link/hug/wm/actual_cost_management.php</v>
      </c>
      <c r="E94" t="s">
        <v>844</v>
      </c>
      <c r="F94" s="1" t="s">
        <v>849</v>
      </c>
      <c r="G94" s="55" t="str">
        <f t="shared" si="3"/>
        <v>https://www.hug-globalkidsmethod02.link/hug/wm/attendance.php?mode=detail&amp;f_id=4&amp;date=2026-05-10</v>
      </c>
    </row>
    <row r="95" spans="1:7" ht="15" thickBot="1">
      <c r="A95" s="44" t="s">
        <v>681</v>
      </c>
      <c r="B95" s="1" t="s">
        <v>579</v>
      </c>
      <c r="C95" t="s">
        <v>832</v>
      </c>
      <c r="D95" s="45" t="str">
        <f t="shared" si="2"/>
        <v>http://www.hug-globalkidsmethod06.link/hug/wm/actual_cost_management.php</v>
      </c>
      <c r="E95" t="s">
        <v>848</v>
      </c>
      <c r="F95" s="1" t="s">
        <v>849</v>
      </c>
      <c r="G95" s="55" t="str">
        <f t="shared" si="3"/>
        <v>https://www.hug-globalkidsmethod06.link/hug/wm/attendance.php?mode=detail&amp;f_id=4&amp;date=2026-05-10</v>
      </c>
    </row>
    <row r="96" spans="1:7" ht="27" thickBot="1">
      <c r="A96" s="32" t="s">
        <v>682</v>
      </c>
      <c r="B96" s="1" t="s">
        <v>581</v>
      </c>
      <c r="C96" t="s">
        <v>831</v>
      </c>
      <c r="D96" s="45" t="str">
        <f t="shared" si="2"/>
        <v>http://www.hug-globalkidsmethod03.link/hug/wm/actual_cost_management.php</v>
      </c>
      <c r="E96" t="s">
        <v>845</v>
      </c>
      <c r="F96" s="1" t="s">
        <v>849</v>
      </c>
      <c r="G96" s="55" t="str">
        <f t="shared" si="3"/>
        <v>https://www.hug-globalkidsmethod03.link/hug/wm/attendance.php?mode=detail&amp;f_id=4&amp;date=2026-05-10</v>
      </c>
    </row>
    <row r="97" spans="1:7">
      <c r="A97" s="43" t="s">
        <v>683</v>
      </c>
      <c r="B97" s="1" t="s">
        <v>580</v>
      </c>
      <c r="C97" t="s">
        <v>833</v>
      </c>
      <c r="D97" s="45" t="str">
        <f t="shared" si="2"/>
        <v>http://www.hug-globalkidsmethod02.link/hug/wm/actual_cost_management.php</v>
      </c>
      <c r="E97" t="s">
        <v>844</v>
      </c>
      <c r="F97" s="1" t="s">
        <v>849</v>
      </c>
      <c r="G97" s="55" t="str">
        <f t="shared" si="3"/>
        <v>https://www.hug-globalkidsmethod02.link/hug/wm/attendance.php?mode=detail&amp;f_id=4&amp;date=2026-05-10</v>
      </c>
    </row>
    <row r="98" spans="1:7">
      <c r="A98" s="47" t="s">
        <v>684</v>
      </c>
      <c r="B98" s="1" t="s">
        <v>575</v>
      </c>
      <c r="C98" t="s">
        <v>834</v>
      </c>
      <c r="D98" s="45" t="str">
        <f t="shared" si="2"/>
        <v>http://www.hug-globalkidsmethod.link/hug/wm/actual_cost_management.php</v>
      </c>
      <c r="E98" t="s">
        <v>843</v>
      </c>
      <c r="F98" s="1" t="s">
        <v>849</v>
      </c>
      <c r="G98" s="55" t="str">
        <f t="shared" si="3"/>
        <v>https://www.hug-globalkidsmethod.link/hug/wm/attendance.php?mode=detail&amp;f_id=4&amp;date=2026-05-10</v>
      </c>
    </row>
    <row r="99" spans="1:7">
      <c r="A99" s="47" t="s">
        <v>685</v>
      </c>
      <c r="B99" s="1" t="s">
        <v>575</v>
      </c>
      <c r="C99" t="s">
        <v>834</v>
      </c>
      <c r="D99" s="45" t="str">
        <f t="shared" si="2"/>
        <v>http://www.hug-globalkidsmethod.link/hug/wm/actual_cost_management.php</v>
      </c>
      <c r="E99" t="s">
        <v>843</v>
      </c>
      <c r="F99" s="1" t="s">
        <v>849</v>
      </c>
      <c r="G99" s="55" t="str">
        <f t="shared" si="3"/>
        <v>https://www.hug-globalkidsmethod.link/hug/wm/attendance.php?mode=detail&amp;f_id=4&amp;date=2026-05-10</v>
      </c>
    </row>
    <row r="100" spans="1:7">
      <c r="A100" s="41" t="s">
        <v>686</v>
      </c>
      <c r="B100" s="1" t="s">
        <v>578</v>
      </c>
      <c r="C100" t="s">
        <v>836</v>
      </c>
      <c r="D100" s="45" t="str">
        <f t="shared" si="2"/>
        <v>http://www.hug-globalkidsmethod05.link/hug/wm/actual_cost_management.php</v>
      </c>
      <c r="E100" t="s">
        <v>847</v>
      </c>
      <c r="F100" s="1" t="s">
        <v>849</v>
      </c>
      <c r="G100" s="55" t="str">
        <f t="shared" si="3"/>
        <v>https://www.hug-globalkidsmethod05.link/hug/wm/attendance.php?mode=detail&amp;f_id=4&amp;date=2026-05-10</v>
      </c>
    </row>
    <row r="101" spans="1:7">
      <c r="A101" s="43" t="s">
        <v>687</v>
      </c>
      <c r="B101" s="1" t="s">
        <v>580</v>
      </c>
      <c r="C101" t="s">
        <v>833</v>
      </c>
      <c r="D101" s="45" t="str">
        <f t="shared" si="2"/>
        <v>http://www.hug-globalkidsmethod02.link/hug/wm/actual_cost_management.php</v>
      </c>
      <c r="E101" t="s">
        <v>844</v>
      </c>
      <c r="F101" s="1" t="s">
        <v>849</v>
      </c>
      <c r="G101" s="55" t="str">
        <f t="shared" si="3"/>
        <v>https://www.hug-globalkidsmethod02.link/hug/wm/attendance.php?mode=detail&amp;f_id=4&amp;date=2026-05-10</v>
      </c>
    </row>
    <row r="102" spans="1:7">
      <c r="A102" s="43" t="s">
        <v>688</v>
      </c>
      <c r="B102" s="1" t="s">
        <v>580</v>
      </c>
      <c r="C102" t="s">
        <v>833</v>
      </c>
      <c r="D102" s="45" t="str">
        <f t="shared" si="2"/>
        <v>http://www.hug-globalkidsmethod02.link/hug/wm/actual_cost_management.php</v>
      </c>
      <c r="E102" t="s">
        <v>844</v>
      </c>
      <c r="F102" s="1" t="s">
        <v>849</v>
      </c>
      <c r="G102" s="55" t="str">
        <f t="shared" si="3"/>
        <v>https://www.hug-globalkidsmethod02.link/hug/wm/attendance.php?mode=detail&amp;f_id=4&amp;date=2026-05-10</v>
      </c>
    </row>
    <row r="103" spans="1:7">
      <c r="A103" s="41" t="s">
        <v>689</v>
      </c>
      <c r="B103" s="1" t="s">
        <v>578</v>
      </c>
      <c r="C103" t="s">
        <v>836</v>
      </c>
      <c r="D103" s="45" t="str">
        <f t="shared" si="2"/>
        <v>http://www.hug-globalkidsmethod05.link/hug/wm/actual_cost_management.php</v>
      </c>
      <c r="E103" t="s">
        <v>847</v>
      </c>
      <c r="F103" s="1" t="s">
        <v>849</v>
      </c>
      <c r="G103" s="55" t="str">
        <f t="shared" si="3"/>
        <v>https://www.hug-globalkidsmethod05.link/hug/wm/attendance.php?mode=detail&amp;f_id=4&amp;date=2026-05-10</v>
      </c>
    </row>
    <row r="104" spans="1:7">
      <c r="A104" s="44" t="s">
        <v>690</v>
      </c>
      <c r="B104" s="1" t="s">
        <v>579</v>
      </c>
      <c r="C104" t="s">
        <v>832</v>
      </c>
      <c r="D104" s="45" t="str">
        <f t="shared" si="2"/>
        <v>http://www.hug-globalkidsmethod06.link/hug/wm/actual_cost_management.php</v>
      </c>
      <c r="E104" t="s">
        <v>848</v>
      </c>
      <c r="F104" s="1" t="s">
        <v>849</v>
      </c>
      <c r="G104" s="55" t="str">
        <f t="shared" si="3"/>
        <v>https://www.hug-globalkidsmethod06.link/hug/wm/attendance.php?mode=detail&amp;f_id=4&amp;date=2026-05-10</v>
      </c>
    </row>
    <row r="105" spans="1:7">
      <c r="A105" s="44" t="s">
        <v>691</v>
      </c>
      <c r="B105" s="1" t="s">
        <v>579</v>
      </c>
      <c r="C105" t="s">
        <v>832</v>
      </c>
      <c r="D105" s="45" t="str">
        <f t="shared" si="2"/>
        <v>http://www.hug-globalkidsmethod06.link/hug/wm/actual_cost_management.php</v>
      </c>
      <c r="E105" t="s">
        <v>848</v>
      </c>
      <c r="F105" s="1" t="s">
        <v>849</v>
      </c>
      <c r="G105" s="55" t="str">
        <f t="shared" si="3"/>
        <v>https://www.hug-globalkidsmethod06.link/hug/wm/attendance.php?mode=detail&amp;f_id=4&amp;date=2026-05-10</v>
      </c>
    </row>
    <row r="106" spans="1:7">
      <c r="A106" s="47" t="s">
        <v>692</v>
      </c>
      <c r="B106" s="1" t="s">
        <v>575</v>
      </c>
      <c r="C106" t="s">
        <v>834</v>
      </c>
      <c r="D106" s="45" t="str">
        <f t="shared" si="2"/>
        <v>http://www.hug-globalkidsmethod.link/hug/wm/actual_cost_management.php</v>
      </c>
      <c r="E106" t="s">
        <v>843</v>
      </c>
      <c r="F106" s="1" t="s">
        <v>849</v>
      </c>
      <c r="G106" s="55" t="str">
        <f t="shared" si="3"/>
        <v>https://www.hug-globalkidsmethod.link/hug/wm/attendance.php?mode=detail&amp;f_id=4&amp;date=2026-05-10</v>
      </c>
    </row>
    <row r="107" spans="1:7">
      <c r="A107" s="47" t="s">
        <v>693</v>
      </c>
      <c r="B107" s="1" t="s">
        <v>575</v>
      </c>
      <c r="C107" t="s">
        <v>834</v>
      </c>
      <c r="D107" s="45" t="str">
        <f t="shared" si="2"/>
        <v>http://www.hug-globalkidsmethod.link/hug/wm/actual_cost_management.php</v>
      </c>
      <c r="E107" t="s">
        <v>843</v>
      </c>
      <c r="F107" s="1" t="s">
        <v>849</v>
      </c>
      <c r="G107" s="55" t="str">
        <f t="shared" si="3"/>
        <v>https://www.hug-globalkidsmethod.link/hug/wm/attendance.php?mode=detail&amp;f_id=4&amp;date=2026-05-10</v>
      </c>
    </row>
    <row r="108" spans="1:7">
      <c r="A108" s="41" t="s">
        <v>694</v>
      </c>
      <c r="B108" s="1" t="s">
        <v>578</v>
      </c>
      <c r="C108" t="s">
        <v>836</v>
      </c>
      <c r="D108" s="45" t="str">
        <f t="shared" si="2"/>
        <v>http://www.hug-globalkidsmethod05.link/hug/wm/actual_cost_management.php</v>
      </c>
      <c r="E108" t="s">
        <v>847</v>
      </c>
      <c r="F108" s="1" t="s">
        <v>849</v>
      </c>
      <c r="G108" s="55" t="str">
        <f t="shared" si="3"/>
        <v>https://www.hug-globalkidsmethod05.link/hug/wm/attendance.php?mode=detail&amp;f_id=4&amp;date=2026-05-10</v>
      </c>
    </row>
    <row r="109" spans="1:7">
      <c r="A109" s="43" t="s">
        <v>695</v>
      </c>
      <c r="B109" s="1" t="s">
        <v>580</v>
      </c>
      <c r="C109" t="s">
        <v>833</v>
      </c>
      <c r="D109" s="45" t="str">
        <f t="shared" si="2"/>
        <v>http://www.hug-globalkidsmethod02.link/hug/wm/actual_cost_management.php</v>
      </c>
      <c r="E109" t="s">
        <v>844</v>
      </c>
      <c r="F109" s="1" t="s">
        <v>849</v>
      </c>
      <c r="G109" s="55" t="str">
        <f t="shared" si="3"/>
        <v>https://www.hug-globalkidsmethod02.link/hug/wm/attendance.php?mode=detail&amp;f_id=4&amp;date=2026-05-10</v>
      </c>
    </row>
    <row r="110" spans="1:7" ht="15" thickBot="1">
      <c r="A110" s="43" t="s">
        <v>696</v>
      </c>
      <c r="B110" s="1" t="s">
        <v>580</v>
      </c>
      <c r="C110" t="s">
        <v>833</v>
      </c>
      <c r="D110" s="45" t="str">
        <f t="shared" si="2"/>
        <v>http://www.hug-globalkidsmethod02.link/hug/wm/actual_cost_management.php</v>
      </c>
      <c r="E110" t="s">
        <v>844</v>
      </c>
      <c r="F110" s="1" t="s">
        <v>849</v>
      </c>
      <c r="G110" s="55" t="str">
        <f t="shared" si="3"/>
        <v>https://www.hug-globalkidsmethod02.link/hug/wm/attendance.php?mode=detail&amp;f_id=4&amp;date=2026-05-10</v>
      </c>
    </row>
    <row r="111" spans="1:7" ht="15" thickBot="1">
      <c r="A111" s="32" t="s">
        <v>697</v>
      </c>
      <c r="B111" s="1" t="s">
        <v>581</v>
      </c>
      <c r="C111" t="s">
        <v>831</v>
      </c>
      <c r="D111" s="45" t="str">
        <f t="shared" si="2"/>
        <v>http://www.hug-globalkidsmethod03.link/hug/wm/actual_cost_management.php</v>
      </c>
      <c r="E111" t="s">
        <v>845</v>
      </c>
      <c r="F111" s="1" t="s">
        <v>849</v>
      </c>
      <c r="G111" s="55" t="str">
        <f t="shared" si="3"/>
        <v>https://www.hug-globalkidsmethod03.link/hug/wm/attendance.php?mode=detail&amp;f_id=4&amp;date=2026-05-10</v>
      </c>
    </row>
    <row r="112" spans="1:7" ht="15" thickBot="1">
      <c r="A112" s="32" t="s">
        <v>698</v>
      </c>
      <c r="B112" s="1" t="s">
        <v>581</v>
      </c>
      <c r="C112" t="s">
        <v>831</v>
      </c>
      <c r="D112" s="45" t="str">
        <f t="shared" si="2"/>
        <v>http://www.hug-globalkidsmethod03.link/hug/wm/actual_cost_management.php</v>
      </c>
      <c r="E112" t="s">
        <v>845</v>
      </c>
      <c r="F112" s="1" t="s">
        <v>849</v>
      </c>
      <c r="G112" s="55" t="str">
        <f t="shared" si="3"/>
        <v>https://www.hug-globalkidsmethod03.link/hug/wm/attendance.php?mode=detail&amp;f_id=4&amp;date=2026-05-10</v>
      </c>
    </row>
    <row r="113" spans="1:7">
      <c r="A113" s="47" t="s">
        <v>699</v>
      </c>
      <c r="B113" s="1" t="s">
        <v>575</v>
      </c>
      <c r="C113" t="s">
        <v>834</v>
      </c>
      <c r="D113" s="45" t="str">
        <f t="shared" si="2"/>
        <v>http://www.hug-globalkidsmethod.link/hug/wm/actual_cost_management.php</v>
      </c>
      <c r="E113" t="s">
        <v>843</v>
      </c>
      <c r="F113" s="1" t="s">
        <v>849</v>
      </c>
      <c r="G113" s="55" t="str">
        <f t="shared" si="3"/>
        <v>https://www.hug-globalkidsmethod.link/hug/wm/attendance.php?mode=detail&amp;f_id=4&amp;date=2026-05-10</v>
      </c>
    </row>
    <row r="114" spans="1:7" ht="15" thickBot="1">
      <c r="A114" s="47" t="s">
        <v>700</v>
      </c>
      <c r="B114" s="1" t="s">
        <v>575</v>
      </c>
      <c r="C114" t="s">
        <v>834</v>
      </c>
      <c r="D114" s="45" t="str">
        <f t="shared" si="2"/>
        <v>http://www.hug-globalkidsmethod.link/hug/wm/actual_cost_management.php</v>
      </c>
      <c r="E114" t="s">
        <v>843</v>
      </c>
      <c r="F114" s="1" t="s">
        <v>849</v>
      </c>
      <c r="G114" s="55" t="str">
        <f t="shared" si="3"/>
        <v>https://www.hug-globalkidsmethod.link/hug/wm/attendance.php?mode=detail&amp;f_id=4&amp;date=2026-05-10</v>
      </c>
    </row>
    <row r="115" spans="1:7" ht="15" thickBot="1">
      <c r="A115" s="32" t="s">
        <v>701</v>
      </c>
      <c r="B115" s="1" t="s">
        <v>581</v>
      </c>
      <c r="C115" t="s">
        <v>831</v>
      </c>
      <c r="D115" s="45" t="str">
        <f t="shared" si="2"/>
        <v>http://www.hug-globalkidsmethod03.link/hug/wm/actual_cost_management.php</v>
      </c>
      <c r="E115" t="s">
        <v>845</v>
      </c>
      <c r="F115" s="1" t="s">
        <v>849</v>
      </c>
      <c r="G115" s="55" t="str">
        <f t="shared" si="3"/>
        <v>https://www.hug-globalkidsmethod03.link/hug/wm/attendance.php?mode=detail&amp;f_id=4&amp;date=2026-05-10</v>
      </c>
    </row>
    <row r="116" spans="1:7" ht="15" thickBot="1">
      <c r="A116" s="32" t="s">
        <v>702</v>
      </c>
      <c r="B116" s="1" t="s">
        <v>581</v>
      </c>
      <c r="C116" t="s">
        <v>831</v>
      </c>
      <c r="D116" s="45" t="str">
        <f t="shared" si="2"/>
        <v>http://www.hug-globalkidsmethod03.link/hug/wm/actual_cost_management.php</v>
      </c>
      <c r="E116" t="s">
        <v>845</v>
      </c>
      <c r="F116" s="1" t="s">
        <v>849</v>
      </c>
      <c r="G116" s="55" t="str">
        <f t="shared" si="3"/>
        <v>https://www.hug-globalkidsmethod03.link/hug/wm/attendance.php?mode=detail&amp;f_id=4&amp;date=2026-05-10</v>
      </c>
    </row>
    <row r="117" spans="1:7" ht="15" thickBot="1">
      <c r="A117" s="32" t="s">
        <v>837</v>
      </c>
      <c r="B117" s="1" t="s">
        <v>581</v>
      </c>
      <c r="C117" t="s">
        <v>831</v>
      </c>
      <c r="D117" s="45" t="str">
        <f t="shared" si="2"/>
        <v>http://www.hug-globalkidsmethod03.link/hug/wm/actual_cost_management.php</v>
      </c>
      <c r="E117" t="s">
        <v>845</v>
      </c>
      <c r="F117" s="1" t="s">
        <v>849</v>
      </c>
      <c r="G117" s="55" t="str">
        <f t="shared" si="3"/>
        <v>https://www.hug-globalkidsmethod03.link/hug/wm/attendance.php?mode=detail&amp;f_id=4&amp;date=2026-05-10</v>
      </c>
    </row>
    <row r="118" spans="1:7">
      <c r="A118" s="43" t="s">
        <v>703</v>
      </c>
      <c r="B118" s="1" t="s">
        <v>580</v>
      </c>
      <c r="C118" t="s">
        <v>833</v>
      </c>
      <c r="D118" s="45" t="str">
        <f t="shared" si="2"/>
        <v>http://www.hug-globalkidsmethod02.link/hug/wm/actual_cost_management.php</v>
      </c>
      <c r="E118" t="s">
        <v>844</v>
      </c>
      <c r="F118" s="1" t="s">
        <v>849</v>
      </c>
      <c r="G118" s="55" t="str">
        <f t="shared" si="3"/>
        <v>https://www.hug-globalkidsmethod02.link/hug/wm/attendance.php?mode=detail&amp;f_id=4&amp;date=2026-05-10</v>
      </c>
    </row>
    <row r="119" spans="1:7" ht="15" thickBot="1">
      <c r="A119" s="43" t="s">
        <v>704</v>
      </c>
      <c r="B119" s="1" t="s">
        <v>580</v>
      </c>
      <c r="C119" t="s">
        <v>833</v>
      </c>
      <c r="D119" s="45" t="str">
        <f t="shared" ref="D119:D177" si="4">HYPERLINK(C119)</f>
        <v>http://www.hug-globalkidsmethod02.link/hug/wm/actual_cost_management.php</v>
      </c>
      <c r="E119" t="s">
        <v>844</v>
      </c>
      <c r="F119" s="1" t="s">
        <v>849</v>
      </c>
      <c r="G119" s="55" t="str">
        <f t="shared" si="3"/>
        <v>https://www.hug-globalkidsmethod02.link/hug/wm/attendance.php?mode=detail&amp;f_id=4&amp;date=2026-05-10</v>
      </c>
    </row>
    <row r="120" spans="1:7" ht="15" thickBot="1">
      <c r="A120" s="32" t="s">
        <v>705</v>
      </c>
      <c r="B120" s="1" t="s">
        <v>581</v>
      </c>
      <c r="C120" t="s">
        <v>831</v>
      </c>
      <c r="D120" s="45" t="str">
        <f t="shared" si="4"/>
        <v>http://www.hug-globalkidsmethod03.link/hug/wm/actual_cost_management.php</v>
      </c>
      <c r="E120" t="s">
        <v>845</v>
      </c>
      <c r="F120" s="1" t="s">
        <v>849</v>
      </c>
      <c r="G120" s="55" t="str">
        <f t="shared" si="3"/>
        <v>https://www.hug-globalkidsmethod03.link/hug/wm/attendance.php?mode=detail&amp;f_id=4&amp;date=2026-05-10</v>
      </c>
    </row>
    <row r="121" spans="1:7" ht="15" thickBot="1">
      <c r="A121" s="32" t="s">
        <v>706</v>
      </c>
      <c r="B121" s="1" t="s">
        <v>581</v>
      </c>
      <c r="C121" t="s">
        <v>831</v>
      </c>
      <c r="D121" s="45" t="str">
        <f t="shared" si="4"/>
        <v>http://www.hug-globalkidsmethod03.link/hug/wm/actual_cost_management.php</v>
      </c>
      <c r="E121" t="s">
        <v>845</v>
      </c>
      <c r="F121" s="1" t="s">
        <v>849</v>
      </c>
      <c r="G121" s="55" t="str">
        <f t="shared" si="3"/>
        <v>https://www.hug-globalkidsmethod03.link/hug/wm/attendance.php?mode=detail&amp;f_id=4&amp;date=2026-05-10</v>
      </c>
    </row>
    <row r="122" spans="1:7">
      <c r="A122" s="43" t="s">
        <v>707</v>
      </c>
      <c r="B122" s="1" t="s">
        <v>580</v>
      </c>
      <c r="C122" t="s">
        <v>833</v>
      </c>
      <c r="D122" s="45" t="str">
        <f t="shared" si="4"/>
        <v>http://www.hug-globalkidsmethod02.link/hug/wm/actual_cost_management.php</v>
      </c>
      <c r="E122" t="s">
        <v>844</v>
      </c>
      <c r="F122" s="1" t="s">
        <v>849</v>
      </c>
      <c r="G122" s="55" t="str">
        <f t="shared" si="3"/>
        <v>https://www.hug-globalkidsmethod02.link/hug/wm/attendance.php?mode=detail&amp;f_id=4&amp;date=2026-05-10</v>
      </c>
    </row>
    <row r="123" spans="1:7">
      <c r="A123" s="43" t="s">
        <v>708</v>
      </c>
      <c r="B123" s="1" t="s">
        <v>580</v>
      </c>
      <c r="C123" t="s">
        <v>833</v>
      </c>
      <c r="D123" s="45" t="str">
        <f t="shared" si="4"/>
        <v>http://www.hug-globalkidsmethod02.link/hug/wm/actual_cost_management.php</v>
      </c>
      <c r="E123" t="s">
        <v>844</v>
      </c>
      <c r="F123" s="1" t="s">
        <v>849</v>
      </c>
      <c r="G123" s="55" t="str">
        <f t="shared" si="3"/>
        <v>https://www.hug-globalkidsmethod02.link/hug/wm/attendance.php?mode=detail&amp;f_id=4&amp;date=2026-05-10</v>
      </c>
    </row>
    <row r="124" spans="1:7">
      <c r="A124" s="43" t="s">
        <v>709</v>
      </c>
      <c r="B124" s="1" t="s">
        <v>580</v>
      </c>
      <c r="C124" t="s">
        <v>833</v>
      </c>
      <c r="D124" s="45" t="str">
        <f t="shared" si="4"/>
        <v>http://www.hug-globalkidsmethod02.link/hug/wm/actual_cost_management.php</v>
      </c>
      <c r="E124" t="s">
        <v>844</v>
      </c>
      <c r="F124" s="1" t="s">
        <v>849</v>
      </c>
      <c r="G124" s="55" t="str">
        <f t="shared" si="3"/>
        <v>https://www.hug-globalkidsmethod02.link/hug/wm/attendance.php?mode=detail&amp;f_id=4&amp;date=2026-05-10</v>
      </c>
    </row>
    <row r="125" spans="1:7">
      <c r="A125" s="43" t="s">
        <v>710</v>
      </c>
      <c r="B125" s="1" t="s">
        <v>580</v>
      </c>
      <c r="C125" t="s">
        <v>833</v>
      </c>
      <c r="D125" s="45" t="str">
        <f t="shared" si="4"/>
        <v>http://www.hug-globalkidsmethod02.link/hug/wm/actual_cost_management.php</v>
      </c>
      <c r="E125" t="s">
        <v>844</v>
      </c>
      <c r="F125" s="1" t="s">
        <v>849</v>
      </c>
      <c r="G125" s="55" t="str">
        <f t="shared" si="3"/>
        <v>https://www.hug-globalkidsmethod02.link/hug/wm/attendance.php?mode=detail&amp;f_id=4&amp;date=2026-05-10</v>
      </c>
    </row>
    <row r="126" spans="1:7">
      <c r="A126" s="41" t="s">
        <v>711</v>
      </c>
      <c r="B126" s="1" t="s">
        <v>578</v>
      </c>
      <c r="C126" t="s">
        <v>836</v>
      </c>
      <c r="D126" s="45" t="str">
        <f t="shared" si="4"/>
        <v>http://www.hug-globalkidsmethod05.link/hug/wm/actual_cost_management.php</v>
      </c>
      <c r="E126" t="s">
        <v>847</v>
      </c>
      <c r="F126" s="1" t="s">
        <v>849</v>
      </c>
      <c r="G126" s="55" t="str">
        <f t="shared" si="3"/>
        <v>https://www.hug-globalkidsmethod05.link/hug/wm/attendance.php?mode=detail&amp;f_id=4&amp;date=2026-05-10</v>
      </c>
    </row>
    <row r="127" spans="1:7">
      <c r="A127" s="43" t="s">
        <v>712</v>
      </c>
      <c r="B127" s="1" t="s">
        <v>580</v>
      </c>
      <c r="C127" t="s">
        <v>833</v>
      </c>
      <c r="D127" s="45" t="str">
        <f t="shared" si="4"/>
        <v>http://www.hug-globalkidsmethod02.link/hug/wm/actual_cost_management.php</v>
      </c>
      <c r="E127" t="s">
        <v>844</v>
      </c>
      <c r="F127" s="1" t="s">
        <v>849</v>
      </c>
      <c r="G127" s="55" t="str">
        <f t="shared" si="3"/>
        <v>https://www.hug-globalkidsmethod02.link/hug/wm/attendance.php?mode=detail&amp;f_id=4&amp;date=2026-05-10</v>
      </c>
    </row>
    <row r="128" spans="1:7" ht="15" thickBot="1">
      <c r="A128" s="43" t="s">
        <v>713</v>
      </c>
      <c r="B128" s="1" t="s">
        <v>580</v>
      </c>
      <c r="C128" t="s">
        <v>833</v>
      </c>
      <c r="D128" s="45" t="str">
        <f t="shared" si="4"/>
        <v>http://www.hug-globalkidsmethod02.link/hug/wm/actual_cost_management.php</v>
      </c>
      <c r="E128" t="s">
        <v>844</v>
      </c>
      <c r="F128" s="1" t="s">
        <v>849</v>
      </c>
      <c r="G128" s="55" t="str">
        <f t="shared" si="3"/>
        <v>https://www.hug-globalkidsmethod02.link/hug/wm/attendance.php?mode=detail&amp;f_id=4&amp;date=2026-05-10</v>
      </c>
    </row>
    <row r="129" spans="1:7" ht="15" thickBot="1">
      <c r="A129" s="32" t="s">
        <v>714</v>
      </c>
      <c r="B129" s="1" t="s">
        <v>581</v>
      </c>
      <c r="C129" t="s">
        <v>831</v>
      </c>
      <c r="D129" s="45" t="str">
        <f>HYPERLINK(C129)</f>
        <v>http://www.hug-globalkidsmethod03.link/hug/wm/actual_cost_management.php</v>
      </c>
      <c r="E129" t="s">
        <v>845</v>
      </c>
      <c r="F129" s="1" t="s">
        <v>849</v>
      </c>
      <c r="G129" s="55" t="str">
        <f t="shared" si="3"/>
        <v>https://www.hug-globalkidsmethod03.link/hug/wm/attendance.php?mode=detail&amp;f_id=4&amp;date=2026-05-10</v>
      </c>
    </row>
    <row r="130" spans="1:7">
      <c r="A130" s="44" t="s">
        <v>715</v>
      </c>
      <c r="B130" s="1" t="s">
        <v>579</v>
      </c>
      <c r="C130" t="s">
        <v>832</v>
      </c>
      <c r="D130" s="45" t="str">
        <f t="shared" si="4"/>
        <v>http://www.hug-globalkidsmethod06.link/hug/wm/actual_cost_management.php</v>
      </c>
      <c r="E130" t="s">
        <v>848</v>
      </c>
      <c r="F130" s="1" t="s">
        <v>849</v>
      </c>
      <c r="G130" s="55" t="str">
        <f t="shared" si="3"/>
        <v>https://www.hug-globalkidsmethod06.link/hug/wm/attendance.php?mode=detail&amp;f_id=4&amp;date=2026-05-10</v>
      </c>
    </row>
    <row r="131" spans="1:7">
      <c r="A131" s="44" t="s">
        <v>716</v>
      </c>
      <c r="B131" s="1" t="s">
        <v>579</v>
      </c>
      <c r="C131" t="s">
        <v>832</v>
      </c>
      <c r="D131" s="45" t="str">
        <f t="shared" si="4"/>
        <v>http://www.hug-globalkidsmethod06.link/hug/wm/actual_cost_management.php</v>
      </c>
      <c r="E131" t="s">
        <v>848</v>
      </c>
      <c r="F131" s="1" t="s">
        <v>849</v>
      </c>
      <c r="G131" s="55" t="str">
        <f t="shared" ref="G131:G193" si="5">HYPERLINK(E131&amp;F131)</f>
        <v>https://www.hug-globalkidsmethod06.link/hug/wm/attendance.php?mode=detail&amp;f_id=4&amp;date=2026-05-10</v>
      </c>
    </row>
    <row r="132" spans="1:7" ht="15" thickBot="1">
      <c r="A132" s="43" t="s">
        <v>717</v>
      </c>
      <c r="B132" s="1" t="s">
        <v>580</v>
      </c>
      <c r="C132" t="s">
        <v>833</v>
      </c>
      <c r="D132" s="45" t="str">
        <f t="shared" si="4"/>
        <v>http://www.hug-globalkidsmethod02.link/hug/wm/actual_cost_management.php</v>
      </c>
      <c r="E132" t="s">
        <v>844</v>
      </c>
      <c r="F132" s="1" t="s">
        <v>849</v>
      </c>
      <c r="G132" s="55" t="str">
        <f t="shared" si="5"/>
        <v>https://www.hug-globalkidsmethod02.link/hug/wm/attendance.php?mode=detail&amp;f_id=4&amp;date=2026-05-10</v>
      </c>
    </row>
    <row r="133" spans="1:7" ht="15" thickBot="1">
      <c r="A133" s="32" t="s">
        <v>718</v>
      </c>
      <c r="B133" s="1" t="s">
        <v>581</v>
      </c>
      <c r="C133" t="s">
        <v>831</v>
      </c>
      <c r="D133" s="45" t="str">
        <f t="shared" si="4"/>
        <v>http://www.hug-globalkidsmethod03.link/hug/wm/actual_cost_management.php</v>
      </c>
      <c r="E133" t="s">
        <v>845</v>
      </c>
      <c r="F133" s="1" t="s">
        <v>849</v>
      </c>
      <c r="G133" s="55" t="str">
        <f t="shared" si="5"/>
        <v>https://www.hug-globalkidsmethod03.link/hug/wm/attendance.php?mode=detail&amp;f_id=4&amp;date=2026-05-10</v>
      </c>
    </row>
    <row r="134" spans="1:7">
      <c r="A134" s="43" t="s">
        <v>719</v>
      </c>
      <c r="B134" s="1" t="s">
        <v>580</v>
      </c>
      <c r="C134" t="s">
        <v>833</v>
      </c>
      <c r="D134" s="45" t="str">
        <f t="shared" si="4"/>
        <v>http://www.hug-globalkidsmethod02.link/hug/wm/actual_cost_management.php</v>
      </c>
      <c r="E134" t="s">
        <v>844</v>
      </c>
      <c r="F134" s="1" t="s">
        <v>849</v>
      </c>
      <c r="G134" s="55" t="str">
        <f t="shared" si="5"/>
        <v>https://www.hug-globalkidsmethod02.link/hug/wm/attendance.php?mode=detail&amp;f_id=4&amp;date=2026-05-10</v>
      </c>
    </row>
    <row r="135" spans="1:7" ht="15" thickBot="1">
      <c r="A135" s="43" t="s">
        <v>720</v>
      </c>
      <c r="B135" s="1" t="s">
        <v>580</v>
      </c>
      <c r="C135" t="s">
        <v>833</v>
      </c>
      <c r="D135" s="45" t="str">
        <f t="shared" si="4"/>
        <v>http://www.hug-globalkidsmethod02.link/hug/wm/actual_cost_management.php</v>
      </c>
      <c r="E135" t="s">
        <v>844</v>
      </c>
      <c r="F135" s="1" t="s">
        <v>849</v>
      </c>
      <c r="G135" s="55" t="str">
        <f t="shared" si="5"/>
        <v>https://www.hug-globalkidsmethod02.link/hug/wm/attendance.php?mode=detail&amp;f_id=4&amp;date=2026-05-10</v>
      </c>
    </row>
    <row r="136" spans="1:7" ht="15" thickBot="1">
      <c r="A136" s="32" t="s">
        <v>721</v>
      </c>
      <c r="B136" s="1" t="s">
        <v>581</v>
      </c>
      <c r="C136" t="s">
        <v>831</v>
      </c>
      <c r="D136" s="45" t="str">
        <f t="shared" si="4"/>
        <v>http://www.hug-globalkidsmethod03.link/hug/wm/actual_cost_management.php</v>
      </c>
      <c r="E136" t="s">
        <v>845</v>
      </c>
      <c r="F136" s="1" t="s">
        <v>849</v>
      </c>
      <c r="G136" s="55" t="str">
        <f t="shared" si="5"/>
        <v>https://www.hug-globalkidsmethod03.link/hug/wm/attendance.php?mode=detail&amp;f_id=4&amp;date=2026-05-10</v>
      </c>
    </row>
    <row r="137" spans="1:7" ht="15" thickBot="1">
      <c r="A137" s="32" t="s">
        <v>722</v>
      </c>
      <c r="B137" s="1" t="s">
        <v>581</v>
      </c>
      <c r="C137" t="s">
        <v>831</v>
      </c>
      <c r="D137" s="45" t="str">
        <f t="shared" si="4"/>
        <v>http://www.hug-globalkidsmethod03.link/hug/wm/actual_cost_management.php</v>
      </c>
      <c r="E137" t="s">
        <v>845</v>
      </c>
      <c r="F137" s="1" t="s">
        <v>849</v>
      </c>
      <c r="G137" s="55" t="str">
        <f t="shared" si="5"/>
        <v>https://www.hug-globalkidsmethod03.link/hug/wm/attendance.php?mode=detail&amp;f_id=4&amp;date=2026-05-10</v>
      </c>
    </row>
    <row r="138" spans="1:7" ht="15" thickBot="1">
      <c r="A138" s="32" t="s">
        <v>723</v>
      </c>
      <c r="B138" s="1" t="s">
        <v>581</v>
      </c>
      <c r="C138" t="s">
        <v>831</v>
      </c>
      <c r="D138" s="45" t="str">
        <f t="shared" si="4"/>
        <v>http://www.hug-globalkidsmethod03.link/hug/wm/actual_cost_management.php</v>
      </c>
      <c r="E138" t="s">
        <v>845</v>
      </c>
      <c r="F138" s="1" t="s">
        <v>849</v>
      </c>
      <c r="G138" s="55" t="str">
        <f t="shared" si="5"/>
        <v>https://www.hug-globalkidsmethod03.link/hug/wm/attendance.php?mode=detail&amp;f_id=4&amp;date=2026-05-10</v>
      </c>
    </row>
    <row r="139" spans="1:7" ht="15" thickBot="1">
      <c r="A139" s="32" t="s">
        <v>724</v>
      </c>
      <c r="B139" s="1" t="s">
        <v>581</v>
      </c>
      <c r="C139" t="s">
        <v>831</v>
      </c>
      <c r="D139" s="45" t="str">
        <f t="shared" si="4"/>
        <v>http://www.hug-globalkidsmethod03.link/hug/wm/actual_cost_management.php</v>
      </c>
      <c r="E139" t="s">
        <v>845</v>
      </c>
      <c r="F139" s="1" t="s">
        <v>849</v>
      </c>
      <c r="G139" s="55" t="str">
        <f t="shared" si="5"/>
        <v>https://www.hug-globalkidsmethod03.link/hug/wm/attendance.php?mode=detail&amp;f_id=4&amp;date=2026-05-10</v>
      </c>
    </row>
    <row r="140" spans="1:7">
      <c r="A140" s="47" t="s">
        <v>725</v>
      </c>
      <c r="B140" s="1" t="s">
        <v>575</v>
      </c>
      <c r="C140" t="s">
        <v>834</v>
      </c>
      <c r="D140" s="45" t="str">
        <f t="shared" si="4"/>
        <v>http://www.hug-globalkidsmethod.link/hug/wm/actual_cost_management.php</v>
      </c>
      <c r="E140" t="s">
        <v>843</v>
      </c>
      <c r="F140" s="1" t="s">
        <v>849</v>
      </c>
      <c r="G140" s="55" t="str">
        <f t="shared" si="5"/>
        <v>https://www.hug-globalkidsmethod.link/hug/wm/attendance.php?mode=detail&amp;f_id=4&amp;date=2026-05-10</v>
      </c>
    </row>
    <row r="141" spans="1:7" ht="15" thickBot="1">
      <c r="A141" s="47" t="s">
        <v>726</v>
      </c>
      <c r="B141" s="1" t="s">
        <v>575</v>
      </c>
      <c r="C141" t="s">
        <v>834</v>
      </c>
      <c r="D141" s="45" t="str">
        <f t="shared" si="4"/>
        <v>http://www.hug-globalkidsmethod.link/hug/wm/actual_cost_management.php</v>
      </c>
      <c r="E141" t="s">
        <v>843</v>
      </c>
      <c r="F141" s="1" t="s">
        <v>849</v>
      </c>
      <c r="G141" s="55" t="str">
        <f t="shared" si="5"/>
        <v>https://www.hug-globalkidsmethod.link/hug/wm/attendance.php?mode=detail&amp;f_id=4&amp;date=2026-05-10</v>
      </c>
    </row>
    <row r="142" spans="1:7" ht="15" thickBot="1">
      <c r="A142" s="32" t="s">
        <v>838</v>
      </c>
      <c r="B142" s="1" t="s">
        <v>581</v>
      </c>
      <c r="C142" t="s">
        <v>831</v>
      </c>
      <c r="D142" s="45" t="str">
        <f t="shared" si="4"/>
        <v>http://www.hug-globalkidsmethod03.link/hug/wm/actual_cost_management.php</v>
      </c>
      <c r="E142" t="s">
        <v>845</v>
      </c>
      <c r="F142" s="1" t="s">
        <v>849</v>
      </c>
      <c r="G142" s="55" t="str">
        <f t="shared" si="5"/>
        <v>https://www.hug-globalkidsmethod03.link/hug/wm/attendance.php?mode=detail&amp;f_id=4&amp;date=2026-05-10</v>
      </c>
    </row>
    <row r="143" spans="1:7">
      <c r="A143" s="41" t="s">
        <v>727</v>
      </c>
      <c r="B143" s="1" t="s">
        <v>582</v>
      </c>
      <c r="C143" t="s">
        <v>835</v>
      </c>
      <c r="D143" s="45" t="str">
        <f t="shared" si="4"/>
        <v>http://www.hug-globalkidsmethod04.link/hug/wm/actual_cost_management.php</v>
      </c>
      <c r="E143" t="s">
        <v>846</v>
      </c>
      <c r="F143" s="1" t="s">
        <v>849</v>
      </c>
      <c r="G143" s="55" t="str">
        <f t="shared" si="5"/>
        <v>https://www.hug-globalkidsmethod04.link/hug/wm/attendance.php?mode=detail&amp;f_id=4&amp;date=2026-05-10</v>
      </c>
    </row>
    <row r="144" spans="1:7">
      <c r="A144" s="43" t="s">
        <v>728</v>
      </c>
      <c r="B144" s="1" t="s">
        <v>580</v>
      </c>
      <c r="C144" t="s">
        <v>833</v>
      </c>
      <c r="D144" s="45" t="str">
        <f t="shared" si="4"/>
        <v>http://www.hug-globalkidsmethod02.link/hug/wm/actual_cost_management.php</v>
      </c>
      <c r="E144" t="s">
        <v>844</v>
      </c>
      <c r="F144" s="1" t="s">
        <v>849</v>
      </c>
      <c r="G144" s="55" t="str">
        <f t="shared" si="5"/>
        <v>https://www.hug-globalkidsmethod02.link/hug/wm/attendance.php?mode=detail&amp;f_id=4&amp;date=2026-05-10</v>
      </c>
    </row>
    <row r="145" spans="1:7">
      <c r="A145" s="43" t="s">
        <v>729</v>
      </c>
      <c r="B145" s="1" t="s">
        <v>580</v>
      </c>
      <c r="C145" t="s">
        <v>833</v>
      </c>
      <c r="D145" s="45" t="str">
        <f t="shared" si="4"/>
        <v>http://www.hug-globalkidsmethod02.link/hug/wm/actual_cost_management.php</v>
      </c>
      <c r="E145" t="s">
        <v>844</v>
      </c>
      <c r="F145" s="1" t="s">
        <v>849</v>
      </c>
      <c r="G145" s="55" t="str">
        <f t="shared" si="5"/>
        <v>https://www.hug-globalkidsmethod02.link/hug/wm/attendance.php?mode=detail&amp;f_id=4&amp;date=2026-05-10</v>
      </c>
    </row>
    <row r="146" spans="1:7">
      <c r="A146" s="43" t="s">
        <v>730</v>
      </c>
      <c r="B146" s="1" t="s">
        <v>580</v>
      </c>
      <c r="C146" t="s">
        <v>833</v>
      </c>
      <c r="D146" s="45" t="str">
        <f t="shared" si="4"/>
        <v>http://www.hug-globalkidsmethod02.link/hug/wm/actual_cost_management.php</v>
      </c>
      <c r="E146" t="s">
        <v>844</v>
      </c>
      <c r="F146" s="1" t="s">
        <v>849</v>
      </c>
      <c r="G146" s="55" t="str">
        <f t="shared" si="5"/>
        <v>https://www.hug-globalkidsmethod02.link/hug/wm/attendance.php?mode=detail&amp;f_id=4&amp;date=2026-05-10</v>
      </c>
    </row>
    <row r="147" spans="1:7">
      <c r="A147" s="43" t="s">
        <v>731</v>
      </c>
      <c r="B147" s="1" t="s">
        <v>580</v>
      </c>
      <c r="C147" t="s">
        <v>833</v>
      </c>
      <c r="D147" s="45" t="str">
        <f t="shared" si="4"/>
        <v>http://www.hug-globalkidsmethod02.link/hug/wm/actual_cost_management.php</v>
      </c>
      <c r="E147" t="s">
        <v>844</v>
      </c>
      <c r="F147" s="1" t="s">
        <v>849</v>
      </c>
      <c r="G147" s="55" t="str">
        <f t="shared" si="5"/>
        <v>https://www.hug-globalkidsmethod02.link/hug/wm/attendance.php?mode=detail&amp;f_id=4&amp;date=2026-05-10</v>
      </c>
    </row>
    <row r="148" spans="1:7" ht="15" thickBot="1">
      <c r="A148" s="41" t="s">
        <v>732</v>
      </c>
      <c r="B148" s="1" t="s">
        <v>578</v>
      </c>
      <c r="C148" t="s">
        <v>836</v>
      </c>
      <c r="D148" s="45" t="str">
        <f t="shared" si="4"/>
        <v>http://www.hug-globalkidsmethod05.link/hug/wm/actual_cost_management.php</v>
      </c>
      <c r="E148" t="s">
        <v>847</v>
      </c>
      <c r="F148" s="1" t="s">
        <v>849</v>
      </c>
      <c r="G148" s="55" t="str">
        <f t="shared" si="5"/>
        <v>https://www.hug-globalkidsmethod05.link/hug/wm/attendance.php?mode=detail&amp;f_id=4&amp;date=2026-05-10</v>
      </c>
    </row>
    <row r="149" spans="1:7" ht="15" thickBot="1">
      <c r="A149" s="32" t="s">
        <v>733</v>
      </c>
      <c r="B149" s="1" t="s">
        <v>581</v>
      </c>
      <c r="C149" t="s">
        <v>831</v>
      </c>
      <c r="D149" s="45" t="str">
        <f t="shared" si="4"/>
        <v>http://www.hug-globalkidsmethod03.link/hug/wm/actual_cost_management.php</v>
      </c>
      <c r="E149" t="s">
        <v>845</v>
      </c>
      <c r="F149" s="1" t="s">
        <v>849</v>
      </c>
      <c r="G149" s="55" t="str">
        <f t="shared" si="5"/>
        <v>https://www.hug-globalkidsmethod03.link/hug/wm/attendance.php?mode=detail&amp;f_id=4&amp;date=2026-05-10</v>
      </c>
    </row>
    <row r="150" spans="1:7">
      <c r="A150" s="41" t="s">
        <v>734</v>
      </c>
      <c r="B150" s="1" t="s">
        <v>582</v>
      </c>
      <c r="C150" t="s">
        <v>835</v>
      </c>
      <c r="D150" s="45" t="str">
        <f t="shared" si="4"/>
        <v>http://www.hug-globalkidsmethod04.link/hug/wm/actual_cost_management.php</v>
      </c>
      <c r="E150" t="s">
        <v>846</v>
      </c>
      <c r="F150" s="1" t="s">
        <v>849</v>
      </c>
      <c r="G150" s="55" t="str">
        <f t="shared" si="5"/>
        <v>https://www.hug-globalkidsmethod04.link/hug/wm/attendance.php?mode=detail&amp;f_id=4&amp;date=2026-05-10</v>
      </c>
    </row>
    <row r="151" spans="1:7">
      <c r="A151" s="41" t="s">
        <v>735</v>
      </c>
      <c r="B151" s="1" t="s">
        <v>582</v>
      </c>
      <c r="C151" t="s">
        <v>835</v>
      </c>
      <c r="D151" s="45" t="str">
        <f t="shared" si="4"/>
        <v>http://www.hug-globalkidsmethod04.link/hug/wm/actual_cost_management.php</v>
      </c>
      <c r="E151" t="s">
        <v>846</v>
      </c>
      <c r="F151" s="1" t="s">
        <v>849</v>
      </c>
      <c r="G151" s="55" t="str">
        <f t="shared" si="5"/>
        <v>https://www.hug-globalkidsmethod04.link/hug/wm/attendance.php?mode=detail&amp;f_id=4&amp;date=2026-05-10</v>
      </c>
    </row>
    <row r="152" spans="1:7">
      <c r="A152" s="44" t="s">
        <v>736</v>
      </c>
      <c r="B152" s="1" t="s">
        <v>579</v>
      </c>
      <c r="C152" t="s">
        <v>832</v>
      </c>
      <c r="D152" s="45" t="str">
        <f t="shared" si="4"/>
        <v>http://www.hug-globalkidsmethod06.link/hug/wm/actual_cost_management.php</v>
      </c>
      <c r="E152" t="s">
        <v>848</v>
      </c>
      <c r="F152" s="1" t="s">
        <v>849</v>
      </c>
      <c r="G152" s="55" t="str">
        <f t="shared" si="5"/>
        <v>https://www.hug-globalkidsmethod06.link/hug/wm/attendance.php?mode=detail&amp;f_id=4&amp;date=2026-05-10</v>
      </c>
    </row>
    <row r="153" spans="1:7">
      <c r="A153" s="43" t="s">
        <v>737</v>
      </c>
      <c r="B153" s="1" t="s">
        <v>580</v>
      </c>
      <c r="C153" t="s">
        <v>833</v>
      </c>
      <c r="D153" s="45" t="str">
        <f t="shared" si="4"/>
        <v>http://www.hug-globalkidsmethod02.link/hug/wm/actual_cost_management.php</v>
      </c>
      <c r="E153" t="s">
        <v>844</v>
      </c>
      <c r="F153" s="1" t="s">
        <v>849</v>
      </c>
      <c r="G153" s="55" t="str">
        <f t="shared" si="5"/>
        <v>https://www.hug-globalkidsmethod02.link/hug/wm/attendance.php?mode=detail&amp;f_id=4&amp;date=2026-05-10</v>
      </c>
    </row>
    <row r="154" spans="1:7" ht="15" thickBot="1">
      <c r="A154" s="41" t="s">
        <v>312</v>
      </c>
      <c r="B154" s="1" t="s">
        <v>582</v>
      </c>
      <c r="C154" t="s">
        <v>835</v>
      </c>
      <c r="D154" s="45" t="str">
        <f t="shared" si="4"/>
        <v>http://www.hug-globalkidsmethod04.link/hug/wm/actual_cost_management.php</v>
      </c>
      <c r="E154" t="s">
        <v>846</v>
      </c>
      <c r="F154" s="1" t="s">
        <v>849</v>
      </c>
      <c r="G154" s="55" t="str">
        <f t="shared" si="5"/>
        <v>https://www.hug-globalkidsmethod04.link/hug/wm/attendance.php?mode=detail&amp;f_id=4&amp;date=2026-05-10</v>
      </c>
    </row>
    <row r="155" spans="1:7" ht="15" thickBot="1">
      <c r="A155" s="32" t="s">
        <v>738</v>
      </c>
      <c r="B155" s="1" t="s">
        <v>581</v>
      </c>
      <c r="C155" t="s">
        <v>831</v>
      </c>
      <c r="D155" s="45" t="str">
        <f t="shared" si="4"/>
        <v>http://www.hug-globalkidsmethod03.link/hug/wm/actual_cost_management.php</v>
      </c>
      <c r="E155" t="s">
        <v>845</v>
      </c>
      <c r="F155" s="1" t="s">
        <v>849</v>
      </c>
      <c r="G155" s="55" t="str">
        <f t="shared" si="5"/>
        <v>https://www.hug-globalkidsmethod03.link/hug/wm/attendance.php?mode=detail&amp;f_id=4&amp;date=2026-05-10</v>
      </c>
    </row>
    <row r="156" spans="1:7">
      <c r="A156" s="43" t="s">
        <v>739</v>
      </c>
      <c r="B156" s="1" t="s">
        <v>580</v>
      </c>
      <c r="C156" t="s">
        <v>833</v>
      </c>
      <c r="D156" s="45" t="str">
        <f t="shared" si="4"/>
        <v>http://www.hug-globalkidsmethod02.link/hug/wm/actual_cost_management.php</v>
      </c>
      <c r="E156" t="s">
        <v>844</v>
      </c>
      <c r="F156" s="1" t="s">
        <v>849</v>
      </c>
      <c r="G156" s="55" t="str">
        <f t="shared" si="5"/>
        <v>https://www.hug-globalkidsmethod02.link/hug/wm/attendance.php?mode=detail&amp;f_id=4&amp;date=2026-05-10</v>
      </c>
    </row>
    <row r="157" spans="1:7">
      <c r="A157" s="43" t="s">
        <v>740</v>
      </c>
      <c r="B157" s="1" t="s">
        <v>580</v>
      </c>
      <c r="C157" t="s">
        <v>833</v>
      </c>
      <c r="D157" s="45" t="str">
        <f t="shared" si="4"/>
        <v>http://www.hug-globalkidsmethod02.link/hug/wm/actual_cost_management.php</v>
      </c>
      <c r="E157" t="s">
        <v>844</v>
      </c>
      <c r="F157" s="1" t="s">
        <v>849</v>
      </c>
      <c r="G157" s="55" t="str">
        <f t="shared" si="5"/>
        <v>https://www.hug-globalkidsmethod02.link/hug/wm/attendance.php?mode=detail&amp;f_id=4&amp;date=2026-05-10</v>
      </c>
    </row>
    <row r="158" spans="1:7" ht="15" thickBot="1">
      <c r="A158" s="43" t="s">
        <v>741</v>
      </c>
      <c r="B158" s="1" t="s">
        <v>580</v>
      </c>
      <c r="C158" t="s">
        <v>833</v>
      </c>
      <c r="D158" s="45" t="str">
        <f t="shared" si="4"/>
        <v>http://www.hug-globalkidsmethod02.link/hug/wm/actual_cost_management.php</v>
      </c>
      <c r="E158" t="s">
        <v>844</v>
      </c>
      <c r="F158" s="1" t="s">
        <v>849</v>
      </c>
      <c r="G158" s="55" t="str">
        <f t="shared" si="5"/>
        <v>https://www.hug-globalkidsmethod02.link/hug/wm/attendance.php?mode=detail&amp;f_id=4&amp;date=2026-05-10</v>
      </c>
    </row>
    <row r="159" spans="1:7" ht="15" thickBot="1">
      <c r="A159" s="32" t="s">
        <v>742</v>
      </c>
      <c r="B159" s="1" t="s">
        <v>581</v>
      </c>
      <c r="C159" t="s">
        <v>831</v>
      </c>
      <c r="D159" s="45" t="str">
        <f t="shared" si="4"/>
        <v>http://www.hug-globalkidsmethod03.link/hug/wm/actual_cost_management.php</v>
      </c>
      <c r="E159" t="s">
        <v>845</v>
      </c>
      <c r="F159" s="1" t="s">
        <v>849</v>
      </c>
      <c r="G159" s="55" t="str">
        <f t="shared" si="5"/>
        <v>https://www.hug-globalkidsmethod03.link/hug/wm/attendance.php?mode=detail&amp;f_id=4&amp;date=2026-05-10</v>
      </c>
    </row>
    <row r="160" spans="1:7">
      <c r="A160" s="43" t="s">
        <v>743</v>
      </c>
      <c r="B160" s="1" t="s">
        <v>580</v>
      </c>
      <c r="C160" t="s">
        <v>833</v>
      </c>
      <c r="D160" s="45" t="str">
        <f t="shared" si="4"/>
        <v>http://www.hug-globalkidsmethod02.link/hug/wm/actual_cost_management.php</v>
      </c>
      <c r="E160" t="s">
        <v>844</v>
      </c>
      <c r="F160" s="1" t="s">
        <v>849</v>
      </c>
      <c r="G160" s="55" t="str">
        <f t="shared" si="5"/>
        <v>https://www.hug-globalkidsmethod02.link/hug/wm/attendance.php?mode=detail&amp;f_id=4&amp;date=2026-05-10</v>
      </c>
    </row>
    <row r="161" spans="1:7">
      <c r="A161" s="43" t="s">
        <v>744</v>
      </c>
      <c r="B161" s="1" t="s">
        <v>580</v>
      </c>
      <c r="C161" t="s">
        <v>833</v>
      </c>
      <c r="D161" s="45" t="str">
        <f t="shared" si="4"/>
        <v>http://www.hug-globalkidsmethod02.link/hug/wm/actual_cost_management.php</v>
      </c>
      <c r="E161" t="s">
        <v>844</v>
      </c>
      <c r="F161" s="1" t="s">
        <v>849</v>
      </c>
      <c r="G161" s="55" t="str">
        <f t="shared" si="5"/>
        <v>https://www.hug-globalkidsmethod02.link/hug/wm/attendance.php?mode=detail&amp;f_id=4&amp;date=2026-05-10</v>
      </c>
    </row>
    <row r="162" spans="1:7">
      <c r="A162" s="43" t="s">
        <v>745</v>
      </c>
      <c r="B162" s="1" t="s">
        <v>580</v>
      </c>
      <c r="C162" t="s">
        <v>833</v>
      </c>
      <c r="D162" s="45" t="str">
        <f t="shared" si="4"/>
        <v>http://www.hug-globalkidsmethod02.link/hug/wm/actual_cost_management.php</v>
      </c>
      <c r="E162" t="s">
        <v>844</v>
      </c>
      <c r="F162" s="1" t="s">
        <v>849</v>
      </c>
      <c r="G162" s="55" t="str">
        <f t="shared" si="5"/>
        <v>https://www.hug-globalkidsmethod02.link/hug/wm/attendance.php?mode=detail&amp;f_id=4&amp;date=2026-05-10</v>
      </c>
    </row>
    <row r="163" spans="1:7">
      <c r="A163" s="43" t="s">
        <v>746</v>
      </c>
      <c r="B163" s="1" t="s">
        <v>580</v>
      </c>
      <c r="C163" t="s">
        <v>833</v>
      </c>
      <c r="D163" s="45" t="str">
        <f t="shared" si="4"/>
        <v>http://www.hug-globalkidsmethod02.link/hug/wm/actual_cost_management.php</v>
      </c>
      <c r="E163" t="s">
        <v>844</v>
      </c>
      <c r="F163" s="1" t="s">
        <v>849</v>
      </c>
      <c r="G163" s="55" t="str">
        <f t="shared" si="5"/>
        <v>https://www.hug-globalkidsmethod02.link/hug/wm/attendance.php?mode=detail&amp;f_id=4&amp;date=2026-05-10</v>
      </c>
    </row>
    <row r="164" spans="1:7" ht="15" thickBot="1">
      <c r="A164" s="43" t="s">
        <v>747</v>
      </c>
      <c r="B164" s="1" t="s">
        <v>580</v>
      </c>
      <c r="C164" t="s">
        <v>833</v>
      </c>
      <c r="D164" s="45" t="str">
        <f t="shared" si="4"/>
        <v>http://www.hug-globalkidsmethod02.link/hug/wm/actual_cost_management.php</v>
      </c>
      <c r="E164" t="s">
        <v>844</v>
      </c>
      <c r="F164" s="1" t="s">
        <v>849</v>
      </c>
      <c r="G164" s="55" t="str">
        <f t="shared" si="5"/>
        <v>https://www.hug-globalkidsmethod02.link/hug/wm/attendance.php?mode=detail&amp;f_id=4&amp;date=2026-05-10</v>
      </c>
    </row>
    <row r="165" spans="1:7" ht="15" thickBot="1">
      <c r="A165" s="32" t="s">
        <v>748</v>
      </c>
      <c r="B165" s="1" t="s">
        <v>581</v>
      </c>
      <c r="C165" t="s">
        <v>831</v>
      </c>
      <c r="D165" s="45" t="str">
        <f t="shared" si="4"/>
        <v>http://www.hug-globalkidsmethod03.link/hug/wm/actual_cost_management.php</v>
      </c>
      <c r="E165" t="s">
        <v>845</v>
      </c>
      <c r="F165" s="1" t="s">
        <v>849</v>
      </c>
      <c r="G165" s="55" t="str">
        <f t="shared" si="5"/>
        <v>https://www.hug-globalkidsmethod03.link/hug/wm/attendance.php?mode=detail&amp;f_id=4&amp;date=2026-05-10</v>
      </c>
    </row>
    <row r="166" spans="1:7" ht="15" thickBot="1">
      <c r="A166" s="33" t="s">
        <v>749</v>
      </c>
      <c r="B166" s="1" t="s">
        <v>582</v>
      </c>
      <c r="C166" t="s">
        <v>835</v>
      </c>
      <c r="D166" s="45" t="str">
        <f t="shared" si="4"/>
        <v>http://www.hug-globalkidsmethod04.link/hug/wm/actual_cost_management.php</v>
      </c>
      <c r="E166" t="s">
        <v>846</v>
      </c>
      <c r="F166" s="1" t="s">
        <v>849</v>
      </c>
      <c r="G166" s="55" t="str">
        <f t="shared" si="5"/>
        <v>https://www.hug-globalkidsmethod04.link/hug/wm/attendance.php?mode=detail&amp;f_id=4&amp;date=2026-05-10</v>
      </c>
    </row>
    <row r="167" spans="1:7">
      <c r="A167" s="44" t="s">
        <v>750</v>
      </c>
      <c r="B167" s="1" t="s">
        <v>579</v>
      </c>
      <c r="C167" t="s">
        <v>832</v>
      </c>
      <c r="D167" s="45" t="str">
        <f t="shared" si="4"/>
        <v>http://www.hug-globalkidsmethod06.link/hug/wm/actual_cost_management.php</v>
      </c>
      <c r="E167" t="s">
        <v>848</v>
      </c>
      <c r="F167" s="1" t="s">
        <v>849</v>
      </c>
      <c r="G167" s="55" t="str">
        <f t="shared" si="5"/>
        <v>https://www.hug-globalkidsmethod06.link/hug/wm/attendance.php?mode=detail&amp;f_id=4&amp;date=2026-05-10</v>
      </c>
    </row>
    <row r="168" spans="1:7">
      <c r="A168" s="43" t="s">
        <v>751</v>
      </c>
      <c r="B168" s="1" t="s">
        <v>580</v>
      </c>
      <c r="C168" t="s">
        <v>833</v>
      </c>
      <c r="D168" s="45" t="str">
        <f t="shared" si="4"/>
        <v>http://www.hug-globalkidsmethod02.link/hug/wm/actual_cost_management.php</v>
      </c>
      <c r="E168" t="s">
        <v>844</v>
      </c>
      <c r="F168" s="1" t="s">
        <v>849</v>
      </c>
      <c r="G168" s="55" t="str">
        <f t="shared" si="5"/>
        <v>https://www.hug-globalkidsmethod02.link/hug/wm/attendance.php?mode=detail&amp;f_id=4&amp;date=2026-05-10</v>
      </c>
    </row>
    <row r="169" spans="1:7">
      <c r="A169" s="43" t="s">
        <v>752</v>
      </c>
      <c r="B169" s="1" t="s">
        <v>580</v>
      </c>
      <c r="C169" t="s">
        <v>833</v>
      </c>
      <c r="D169" s="45" t="str">
        <f t="shared" si="4"/>
        <v>http://www.hug-globalkidsmethod02.link/hug/wm/actual_cost_management.php</v>
      </c>
      <c r="E169" t="s">
        <v>844</v>
      </c>
      <c r="F169" s="1" t="s">
        <v>849</v>
      </c>
      <c r="G169" s="55" t="str">
        <f t="shared" si="5"/>
        <v>https://www.hug-globalkidsmethod02.link/hug/wm/attendance.php?mode=detail&amp;f_id=4&amp;date=2026-05-10</v>
      </c>
    </row>
    <row r="170" spans="1:7" ht="15" thickBot="1">
      <c r="A170" s="41" t="s">
        <v>753</v>
      </c>
      <c r="B170" s="1" t="s">
        <v>578</v>
      </c>
      <c r="C170" t="s">
        <v>836</v>
      </c>
      <c r="D170" s="45" t="str">
        <f t="shared" si="4"/>
        <v>http://www.hug-globalkidsmethod05.link/hug/wm/actual_cost_management.php</v>
      </c>
      <c r="E170" t="s">
        <v>847</v>
      </c>
      <c r="F170" s="1" t="s">
        <v>849</v>
      </c>
      <c r="G170" s="55" t="str">
        <f t="shared" si="5"/>
        <v>https://www.hug-globalkidsmethod05.link/hug/wm/attendance.php?mode=detail&amp;f_id=4&amp;date=2026-05-10</v>
      </c>
    </row>
    <row r="171" spans="1:7" ht="15" thickBot="1">
      <c r="A171" s="32" t="s">
        <v>754</v>
      </c>
      <c r="B171" s="1" t="s">
        <v>581</v>
      </c>
      <c r="C171" t="s">
        <v>831</v>
      </c>
      <c r="D171" s="45" t="str">
        <f t="shared" si="4"/>
        <v>http://www.hug-globalkidsmethod03.link/hug/wm/actual_cost_management.php</v>
      </c>
      <c r="E171" t="s">
        <v>845</v>
      </c>
      <c r="F171" s="1" t="s">
        <v>849</v>
      </c>
      <c r="G171" s="55" t="str">
        <f t="shared" si="5"/>
        <v>https://www.hug-globalkidsmethod03.link/hug/wm/attendance.php?mode=detail&amp;f_id=4&amp;date=2026-05-10</v>
      </c>
    </row>
    <row r="172" spans="1:7" ht="15" thickBot="1">
      <c r="A172" s="33" t="s">
        <v>755</v>
      </c>
      <c r="B172" s="1" t="s">
        <v>582</v>
      </c>
      <c r="C172" t="s">
        <v>835</v>
      </c>
      <c r="D172" s="45" t="str">
        <f t="shared" si="4"/>
        <v>http://www.hug-globalkidsmethod04.link/hug/wm/actual_cost_management.php</v>
      </c>
      <c r="E172" t="s">
        <v>846</v>
      </c>
      <c r="F172" s="1" t="s">
        <v>849</v>
      </c>
      <c r="G172" s="55" t="str">
        <f t="shared" si="5"/>
        <v>https://www.hug-globalkidsmethod04.link/hug/wm/attendance.php?mode=detail&amp;f_id=4&amp;date=2026-05-10</v>
      </c>
    </row>
    <row r="173" spans="1:7">
      <c r="A173" s="44" t="s">
        <v>756</v>
      </c>
      <c r="B173" s="1" t="s">
        <v>579</v>
      </c>
      <c r="C173" t="s">
        <v>832</v>
      </c>
      <c r="D173" s="45" t="str">
        <f t="shared" si="4"/>
        <v>http://www.hug-globalkidsmethod06.link/hug/wm/actual_cost_management.php</v>
      </c>
      <c r="E173" t="s">
        <v>848</v>
      </c>
      <c r="F173" s="1" t="s">
        <v>849</v>
      </c>
      <c r="G173" s="55" t="str">
        <f t="shared" si="5"/>
        <v>https://www.hug-globalkidsmethod06.link/hug/wm/attendance.php?mode=detail&amp;f_id=4&amp;date=2026-05-10</v>
      </c>
    </row>
    <row r="174" spans="1:7">
      <c r="A174" s="44" t="s">
        <v>757</v>
      </c>
      <c r="B174" s="1" t="s">
        <v>579</v>
      </c>
      <c r="C174" t="s">
        <v>832</v>
      </c>
      <c r="D174" s="45" t="str">
        <f t="shared" si="4"/>
        <v>http://www.hug-globalkidsmethod06.link/hug/wm/actual_cost_management.php</v>
      </c>
      <c r="E174" t="s">
        <v>848</v>
      </c>
      <c r="F174" s="1" t="s">
        <v>849</v>
      </c>
      <c r="G174" s="55" t="str">
        <f t="shared" si="5"/>
        <v>https://www.hug-globalkidsmethod06.link/hug/wm/attendance.php?mode=detail&amp;f_id=4&amp;date=2026-05-10</v>
      </c>
    </row>
    <row r="175" spans="1:7" ht="26.25">
      <c r="A175" s="43" t="s">
        <v>758</v>
      </c>
      <c r="B175" s="1" t="s">
        <v>580</v>
      </c>
      <c r="C175" t="s">
        <v>833</v>
      </c>
      <c r="D175" s="45" t="str">
        <f t="shared" si="4"/>
        <v>http://www.hug-globalkidsmethod02.link/hug/wm/actual_cost_management.php</v>
      </c>
      <c r="E175" t="s">
        <v>844</v>
      </c>
      <c r="F175" s="1" t="s">
        <v>849</v>
      </c>
      <c r="G175" s="55" t="str">
        <f t="shared" si="5"/>
        <v>https://www.hug-globalkidsmethod02.link/hug/wm/attendance.php?mode=detail&amp;f_id=4&amp;date=2026-05-10</v>
      </c>
    </row>
    <row r="176" spans="1:7" ht="15" thickBot="1">
      <c r="A176" s="44" t="s">
        <v>759</v>
      </c>
      <c r="B176" s="1" t="s">
        <v>579</v>
      </c>
      <c r="C176" t="s">
        <v>832</v>
      </c>
      <c r="D176" s="45" t="str">
        <f t="shared" si="4"/>
        <v>http://www.hug-globalkidsmethod06.link/hug/wm/actual_cost_management.php</v>
      </c>
      <c r="E176" t="s">
        <v>848</v>
      </c>
      <c r="F176" s="1" t="s">
        <v>849</v>
      </c>
      <c r="G176" s="55" t="str">
        <f t="shared" si="5"/>
        <v>https://www.hug-globalkidsmethod06.link/hug/wm/attendance.php?mode=detail&amp;f_id=4&amp;date=2026-05-10</v>
      </c>
    </row>
    <row r="177" spans="1:7" ht="15" thickBot="1">
      <c r="A177" s="32" t="s">
        <v>760</v>
      </c>
      <c r="B177" s="1" t="s">
        <v>581</v>
      </c>
      <c r="C177" t="s">
        <v>831</v>
      </c>
      <c r="D177" s="45" t="str">
        <f t="shared" si="4"/>
        <v>http://www.hug-globalkidsmethod03.link/hug/wm/actual_cost_management.php</v>
      </c>
      <c r="E177" t="s">
        <v>845</v>
      </c>
      <c r="F177" s="1" t="s">
        <v>849</v>
      </c>
      <c r="G177" s="55" t="str">
        <f t="shared" si="5"/>
        <v>https://www.hug-globalkidsmethod03.link/hug/wm/attendance.php?mode=detail&amp;f_id=4&amp;date=2026-05-10</v>
      </c>
    </row>
    <row r="178" spans="1:7" ht="15" thickBot="1">
      <c r="A178" s="32" t="s">
        <v>761</v>
      </c>
      <c r="B178" s="1" t="s">
        <v>581</v>
      </c>
      <c r="C178" t="s">
        <v>831</v>
      </c>
      <c r="D178" s="45" t="str">
        <f t="shared" ref="D178:D200" si="6">HYPERLINK(C178)</f>
        <v>http://www.hug-globalkidsmethod03.link/hug/wm/actual_cost_management.php</v>
      </c>
      <c r="E178" t="s">
        <v>845</v>
      </c>
      <c r="F178" s="1" t="s">
        <v>849</v>
      </c>
      <c r="G178" s="55" t="str">
        <f t="shared" si="5"/>
        <v>https://www.hug-globalkidsmethod03.link/hug/wm/attendance.php?mode=detail&amp;f_id=4&amp;date=2026-05-10</v>
      </c>
    </row>
    <row r="179" spans="1:7" ht="15" thickBot="1">
      <c r="A179" s="41" t="s">
        <v>762</v>
      </c>
      <c r="B179" s="1" t="s">
        <v>578</v>
      </c>
      <c r="C179" t="s">
        <v>836</v>
      </c>
      <c r="D179" s="45" t="str">
        <f t="shared" si="6"/>
        <v>http://www.hug-globalkidsmethod05.link/hug/wm/actual_cost_management.php</v>
      </c>
      <c r="E179" t="s">
        <v>847</v>
      </c>
      <c r="F179" s="1" t="s">
        <v>849</v>
      </c>
      <c r="G179" s="55" t="str">
        <f t="shared" si="5"/>
        <v>https://www.hug-globalkidsmethod05.link/hug/wm/attendance.php?mode=detail&amp;f_id=4&amp;date=2026-05-10</v>
      </c>
    </row>
    <row r="180" spans="1:7" ht="15" thickBot="1">
      <c r="A180" s="32" t="s">
        <v>763</v>
      </c>
      <c r="B180" s="1" t="s">
        <v>581</v>
      </c>
      <c r="C180" t="s">
        <v>831</v>
      </c>
      <c r="D180" s="45" t="str">
        <f t="shared" si="6"/>
        <v>http://www.hug-globalkidsmethod03.link/hug/wm/actual_cost_management.php</v>
      </c>
      <c r="E180" t="s">
        <v>845</v>
      </c>
      <c r="F180" s="1" t="s">
        <v>849</v>
      </c>
      <c r="G180" s="55" t="str">
        <f t="shared" si="5"/>
        <v>https://www.hug-globalkidsmethod03.link/hug/wm/attendance.php?mode=detail&amp;f_id=4&amp;date=2026-05-10</v>
      </c>
    </row>
    <row r="181" spans="1:7" ht="15" thickBot="1">
      <c r="A181" s="32" t="s">
        <v>764</v>
      </c>
      <c r="B181" s="1" t="s">
        <v>581</v>
      </c>
      <c r="C181" t="s">
        <v>831</v>
      </c>
      <c r="D181" s="45" t="str">
        <f t="shared" si="6"/>
        <v>http://www.hug-globalkidsmethod03.link/hug/wm/actual_cost_management.php</v>
      </c>
      <c r="E181" t="s">
        <v>845</v>
      </c>
      <c r="F181" s="1" t="s">
        <v>849</v>
      </c>
      <c r="G181" s="55" t="str">
        <f t="shared" si="5"/>
        <v>https://www.hug-globalkidsmethod03.link/hug/wm/attendance.php?mode=detail&amp;f_id=4&amp;date=2026-05-10</v>
      </c>
    </row>
    <row r="182" spans="1:7" ht="15" thickBot="1">
      <c r="A182" s="32" t="s">
        <v>765</v>
      </c>
      <c r="B182" s="1" t="s">
        <v>581</v>
      </c>
      <c r="C182" t="s">
        <v>831</v>
      </c>
      <c r="D182" s="45" t="str">
        <f t="shared" si="6"/>
        <v>http://www.hug-globalkidsmethod03.link/hug/wm/actual_cost_management.php</v>
      </c>
      <c r="E182" t="s">
        <v>845</v>
      </c>
      <c r="F182" s="1" t="s">
        <v>849</v>
      </c>
      <c r="G182" s="55" t="str">
        <f t="shared" si="5"/>
        <v>https://www.hug-globalkidsmethod03.link/hug/wm/attendance.php?mode=detail&amp;f_id=4&amp;date=2026-05-10</v>
      </c>
    </row>
    <row r="183" spans="1:7" ht="15" thickBot="1">
      <c r="A183" s="33" t="s">
        <v>766</v>
      </c>
      <c r="B183" s="1" t="s">
        <v>582</v>
      </c>
      <c r="C183" t="s">
        <v>835</v>
      </c>
      <c r="D183" s="45" t="str">
        <f t="shared" si="6"/>
        <v>http://www.hug-globalkidsmethod04.link/hug/wm/actual_cost_management.php</v>
      </c>
      <c r="E183" t="s">
        <v>846</v>
      </c>
      <c r="F183" s="1" t="s">
        <v>849</v>
      </c>
      <c r="G183" s="55" t="str">
        <f t="shared" si="5"/>
        <v>https://www.hug-globalkidsmethod04.link/hug/wm/attendance.php?mode=detail&amp;f_id=4&amp;date=2026-05-10</v>
      </c>
    </row>
    <row r="184" spans="1:7" ht="15" thickBot="1">
      <c r="A184" s="32" t="s">
        <v>767</v>
      </c>
      <c r="B184" s="1" t="s">
        <v>581</v>
      </c>
      <c r="C184" t="s">
        <v>831</v>
      </c>
      <c r="D184" s="45" t="str">
        <f t="shared" si="6"/>
        <v>http://www.hug-globalkidsmethod03.link/hug/wm/actual_cost_management.php</v>
      </c>
      <c r="E184" t="s">
        <v>845</v>
      </c>
      <c r="F184" s="1" t="s">
        <v>849</v>
      </c>
      <c r="G184" s="55" t="str">
        <f t="shared" si="5"/>
        <v>https://www.hug-globalkidsmethod03.link/hug/wm/attendance.php?mode=detail&amp;f_id=4&amp;date=2026-05-10</v>
      </c>
    </row>
    <row r="185" spans="1:7" ht="15" thickBot="1">
      <c r="A185" s="32" t="s">
        <v>768</v>
      </c>
      <c r="B185" s="1" t="s">
        <v>581</v>
      </c>
      <c r="C185" t="s">
        <v>831</v>
      </c>
      <c r="D185" s="45" t="str">
        <f t="shared" si="6"/>
        <v>http://www.hug-globalkidsmethod03.link/hug/wm/actual_cost_management.php</v>
      </c>
      <c r="E185" t="s">
        <v>845</v>
      </c>
      <c r="F185" s="1" t="s">
        <v>849</v>
      </c>
      <c r="G185" s="55" t="str">
        <f t="shared" si="5"/>
        <v>https://www.hug-globalkidsmethod03.link/hug/wm/attendance.php?mode=detail&amp;f_id=4&amp;date=2026-05-10</v>
      </c>
    </row>
    <row r="186" spans="1:7" ht="15" thickBot="1">
      <c r="A186" s="47" t="s">
        <v>769</v>
      </c>
      <c r="B186" s="1" t="s">
        <v>575</v>
      </c>
      <c r="C186" t="s">
        <v>834</v>
      </c>
      <c r="D186" s="45" t="str">
        <f t="shared" si="6"/>
        <v>http://www.hug-globalkidsmethod.link/hug/wm/actual_cost_management.php</v>
      </c>
      <c r="E186" t="s">
        <v>843</v>
      </c>
      <c r="F186" s="1" t="s">
        <v>849</v>
      </c>
      <c r="G186" s="55" t="str">
        <f t="shared" si="5"/>
        <v>https://www.hug-globalkidsmethod.link/hug/wm/attendance.php?mode=detail&amp;f_id=4&amp;date=2026-05-10</v>
      </c>
    </row>
    <row r="187" spans="1:7" ht="15" thickBot="1">
      <c r="A187" s="32" t="s">
        <v>770</v>
      </c>
      <c r="B187" s="1" t="s">
        <v>581</v>
      </c>
      <c r="C187" t="s">
        <v>831</v>
      </c>
      <c r="D187" s="45" t="str">
        <f t="shared" si="6"/>
        <v>http://www.hug-globalkidsmethod03.link/hug/wm/actual_cost_management.php</v>
      </c>
      <c r="E187" t="s">
        <v>845</v>
      </c>
      <c r="F187" s="1" t="s">
        <v>849</v>
      </c>
      <c r="G187" s="55" t="str">
        <f t="shared" si="5"/>
        <v>https://www.hug-globalkidsmethod03.link/hug/wm/attendance.php?mode=detail&amp;f_id=4&amp;date=2026-05-10</v>
      </c>
    </row>
    <row r="188" spans="1:7">
      <c r="A188" s="43" t="s">
        <v>771</v>
      </c>
      <c r="B188" s="1" t="s">
        <v>580</v>
      </c>
      <c r="C188" t="s">
        <v>833</v>
      </c>
      <c r="D188" s="45" t="str">
        <f t="shared" si="6"/>
        <v>http://www.hug-globalkidsmethod02.link/hug/wm/actual_cost_management.php</v>
      </c>
      <c r="E188" t="s">
        <v>844</v>
      </c>
      <c r="F188" s="1" t="s">
        <v>849</v>
      </c>
      <c r="G188" s="55" t="str">
        <f t="shared" si="5"/>
        <v>https://www.hug-globalkidsmethod02.link/hug/wm/attendance.php?mode=detail&amp;f_id=4&amp;date=2026-05-10</v>
      </c>
    </row>
    <row r="189" spans="1:7">
      <c r="A189" s="43" t="s">
        <v>772</v>
      </c>
      <c r="B189" s="1" t="s">
        <v>580</v>
      </c>
      <c r="C189" t="s">
        <v>833</v>
      </c>
      <c r="D189" s="45" t="str">
        <f t="shared" si="6"/>
        <v>http://www.hug-globalkidsmethod02.link/hug/wm/actual_cost_management.php</v>
      </c>
      <c r="E189" t="s">
        <v>844</v>
      </c>
      <c r="F189" s="1" t="s">
        <v>849</v>
      </c>
      <c r="G189" s="55" t="str">
        <f t="shared" si="5"/>
        <v>https://www.hug-globalkidsmethod02.link/hug/wm/attendance.php?mode=detail&amp;f_id=4&amp;date=2026-05-10</v>
      </c>
    </row>
    <row r="190" spans="1:7" ht="15" thickBot="1">
      <c r="A190" s="47" t="s">
        <v>773</v>
      </c>
      <c r="B190" s="1" t="s">
        <v>575</v>
      </c>
      <c r="C190" t="s">
        <v>834</v>
      </c>
      <c r="D190" s="45" t="str">
        <f t="shared" si="6"/>
        <v>http://www.hug-globalkidsmethod.link/hug/wm/actual_cost_management.php</v>
      </c>
      <c r="E190" t="s">
        <v>843</v>
      </c>
      <c r="F190" s="1" t="s">
        <v>849</v>
      </c>
      <c r="G190" s="55" t="str">
        <f t="shared" si="5"/>
        <v>https://www.hug-globalkidsmethod.link/hug/wm/attendance.php?mode=detail&amp;f_id=4&amp;date=2026-05-10</v>
      </c>
    </row>
    <row r="191" spans="1:7" ht="15" thickBot="1">
      <c r="A191" s="32" t="s">
        <v>774</v>
      </c>
      <c r="B191" s="1" t="s">
        <v>581</v>
      </c>
      <c r="C191" t="s">
        <v>831</v>
      </c>
      <c r="D191" s="45" t="str">
        <f t="shared" si="6"/>
        <v>http://www.hug-globalkidsmethod03.link/hug/wm/actual_cost_management.php</v>
      </c>
      <c r="E191" t="s">
        <v>845</v>
      </c>
      <c r="F191" s="1" t="s">
        <v>849</v>
      </c>
      <c r="G191" s="55" t="str">
        <f t="shared" si="5"/>
        <v>https://www.hug-globalkidsmethod03.link/hug/wm/attendance.php?mode=detail&amp;f_id=4&amp;date=2026-05-10</v>
      </c>
    </row>
    <row r="192" spans="1:7" ht="15" thickBot="1">
      <c r="A192" s="33" t="s">
        <v>775</v>
      </c>
      <c r="B192" s="1" t="s">
        <v>582</v>
      </c>
      <c r="C192" t="s">
        <v>835</v>
      </c>
      <c r="D192" s="45" t="str">
        <f t="shared" si="6"/>
        <v>http://www.hug-globalkidsmethod04.link/hug/wm/actual_cost_management.php</v>
      </c>
      <c r="E192" t="s">
        <v>846</v>
      </c>
      <c r="F192" s="1" t="s">
        <v>849</v>
      </c>
      <c r="G192" s="55" t="str">
        <f t="shared" si="5"/>
        <v>https://www.hug-globalkidsmethod04.link/hug/wm/attendance.php?mode=detail&amp;f_id=4&amp;date=2026-05-10</v>
      </c>
    </row>
    <row r="193" spans="1:17" ht="15" thickBot="1">
      <c r="A193" s="32" t="s">
        <v>776</v>
      </c>
      <c r="B193" s="1" t="s">
        <v>581</v>
      </c>
      <c r="C193" t="s">
        <v>831</v>
      </c>
      <c r="D193" s="45" t="str">
        <f t="shared" si="6"/>
        <v>http://www.hug-globalkidsmethod03.link/hug/wm/actual_cost_management.php</v>
      </c>
      <c r="E193" t="s">
        <v>845</v>
      </c>
      <c r="F193" s="1" t="s">
        <v>849</v>
      </c>
      <c r="G193" s="55" t="str">
        <f t="shared" si="5"/>
        <v>https://www.hug-globalkidsmethod03.link/hug/wm/attendance.php?mode=detail&amp;f_id=4&amp;date=2026-05-10</v>
      </c>
    </row>
    <row r="194" spans="1:17" ht="15" thickBot="1">
      <c r="A194" s="33" t="s">
        <v>777</v>
      </c>
      <c r="B194" s="1" t="s">
        <v>582</v>
      </c>
      <c r="C194" t="s">
        <v>835</v>
      </c>
      <c r="D194" s="45" t="str">
        <f t="shared" si="6"/>
        <v>http://www.hug-globalkidsmethod04.link/hug/wm/actual_cost_management.php</v>
      </c>
      <c r="E194" t="s">
        <v>846</v>
      </c>
      <c r="F194" s="1" t="s">
        <v>849</v>
      </c>
      <c r="G194" s="55" t="str">
        <f t="shared" ref="G194:G257" si="7">HYPERLINK(E194&amp;F194)</f>
        <v>https://www.hug-globalkidsmethod04.link/hug/wm/attendance.php?mode=detail&amp;f_id=4&amp;date=2026-05-10</v>
      </c>
    </row>
    <row r="195" spans="1:17" ht="15" thickBot="1">
      <c r="A195" s="33" t="s">
        <v>778</v>
      </c>
      <c r="B195" s="1" t="s">
        <v>582</v>
      </c>
      <c r="C195" t="s">
        <v>835</v>
      </c>
      <c r="D195" s="45" t="str">
        <f t="shared" si="6"/>
        <v>http://www.hug-globalkidsmethod04.link/hug/wm/actual_cost_management.php</v>
      </c>
      <c r="E195" t="s">
        <v>846</v>
      </c>
      <c r="F195" s="1" t="s">
        <v>849</v>
      </c>
      <c r="G195" s="55" t="str">
        <f t="shared" si="7"/>
        <v>https://www.hug-globalkidsmethod04.link/hug/wm/attendance.php?mode=detail&amp;f_id=4&amp;date=2026-05-10</v>
      </c>
    </row>
    <row r="196" spans="1:17" ht="15" thickBot="1">
      <c r="A196" s="33" t="s">
        <v>779</v>
      </c>
      <c r="B196" s="1" t="s">
        <v>582</v>
      </c>
      <c r="C196" t="s">
        <v>835</v>
      </c>
      <c r="D196" s="45" t="str">
        <f t="shared" si="6"/>
        <v>http://www.hug-globalkidsmethod04.link/hug/wm/actual_cost_management.php</v>
      </c>
      <c r="E196" t="s">
        <v>846</v>
      </c>
      <c r="F196" s="1" t="s">
        <v>849</v>
      </c>
      <c r="G196" s="55" t="str">
        <f t="shared" si="7"/>
        <v>https://www.hug-globalkidsmethod04.link/hug/wm/attendance.php?mode=detail&amp;f_id=4&amp;date=2026-05-10</v>
      </c>
    </row>
    <row r="197" spans="1:17" ht="15" thickBot="1">
      <c r="A197" s="33" t="s">
        <v>780</v>
      </c>
      <c r="B197" s="1" t="s">
        <v>582</v>
      </c>
      <c r="C197" t="s">
        <v>835</v>
      </c>
      <c r="D197" s="45" t="str">
        <f t="shared" si="6"/>
        <v>http://www.hug-globalkidsmethod04.link/hug/wm/actual_cost_management.php</v>
      </c>
      <c r="E197" t="s">
        <v>846</v>
      </c>
      <c r="F197" s="1" t="s">
        <v>849</v>
      </c>
      <c r="G197" s="55" t="str">
        <f t="shared" si="7"/>
        <v>https://www.hug-globalkidsmethod04.link/hug/wm/attendance.php?mode=detail&amp;f_id=4&amp;date=2026-05-10</v>
      </c>
    </row>
    <row r="198" spans="1:17" ht="15" thickBot="1">
      <c r="A198" s="33" t="s">
        <v>781</v>
      </c>
      <c r="B198" s="1" t="s">
        <v>582</v>
      </c>
      <c r="C198" t="s">
        <v>835</v>
      </c>
      <c r="D198" s="45" t="str">
        <f t="shared" si="6"/>
        <v>http://www.hug-globalkidsmethod04.link/hug/wm/actual_cost_management.php</v>
      </c>
      <c r="E198" t="s">
        <v>846</v>
      </c>
      <c r="F198" s="1" t="s">
        <v>849</v>
      </c>
      <c r="G198" s="55" t="str">
        <f t="shared" si="7"/>
        <v>https://www.hug-globalkidsmethod04.link/hug/wm/attendance.php?mode=detail&amp;f_id=4&amp;date=2026-05-10</v>
      </c>
    </row>
    <row r="199" spans="1:17" ht="15" thickBot="1">
      <c r="A199" s="33" t="s">
        <v>782</v>
      </c>
      <c r="B199" s="1" t="s">
        <v>582</v>
      </c>
      <c r="C199" t="s">
        <v>835</v>
      </c>
      <c r="D199" s="45" t="str">
        <f t="shared" si="6"/>
        <v>http://www.hug-globalkidsmethod04.link/hug/wm/actual_cost_management.php</v>
      </c>
      <c r="E199" t="s">
        <v>846</v>
      </c>
      <c r="F199" s="1" t="s">
        <v>849</v>
      </c>
      <c r="G199" s="55" t="str">
        <f t="shared" si="7"/>
        <v>https://www.hug-globalkidsmethod04.link/hug/wm/attendance.php?mode=detail&amp;f_id=4&amp;date=2026-05-10</v>
      </c>
    </row>
    <row r="200" spans="1:17" ht="15" thickBot="1">
      <c r="A200" s="32" t="s">
        <v>783</v>
      </c>
      <c r="B200" s="1" t="s">
        <v>581</v>
      </c>
      <c r="C200" t="s">
        <v>831</v>
      </c>
      <c r="D200" s="45" t="str">
        <f t="shared" si="6"/>
        <v>http://www.hug-globalkidsmethod03.link/hug/wm/actual_cost_management.php</v>
      </c>
      <c r="E200" t="s">
        <v>845</v>
      </c>
      <c r="F200" s="1" t="s">
        <v>849</v>
      </c>
      <c r="G200" s="55" t="str">
        <f t="shared" si="7"/>
        <v>https://www.hug-globalkidsmethod03.link/hug/wm/attendance.php?mode=detail&amp;f_id=4&amp;date=2026-05-10</v>
      </c>
    </row>
    <row r="201" spans="1:17" ht="15" thickBot="1">
      <c r="A201" s="56" t="s">
        <v>784</v>
      </c>
      <c r="B201" s="57" t="s">
        <v>859</v>
      </c>
      <c r="C201" s="57" t="s">
        <v>835</v>
      </c>
      <c r="D201" s="58" t="str">
        <f>HYPERLINK(C201)</f>
        <v>http://www.hug-globalkidsmethod04.link/hug/wm/actual_cost_management.php</v>
      </c>
      <c r="E201" s="57" t="s">
        <v>846</v>
      </c>
      <c r="F201" s="57" t="s">
        <v>849</v>
      </c>
      <c r="G201" s="59" t="str">
        <f t="shared" si="7"/>
        <v>https://www.hug-globalkidsmethod04.link/hug/wm/attendance.php?mode=detail&amp;f_id=4&amp;date=2026-05-10</v>
      </c>
      <c r="H201" s="57"/>
      <c r="I201" s="57"/>
      <c r="J201" s="57"/>
      <c r="K201" s="57"/>
      <c r="L201" s="57"/>
      <c r="M201" s="57"/>
      <c r="N201" s="57"/>
      <c r="O201" s="57"/>
      <c r="P201" s="57"/>
      <c r="Q201" s="57"/>
    </row>
    <row r="202" spans="1:17" ht="15" thickBot="1">
      <c r="A202" s="33" t="s">
        <v>785</v>
      </c>
      <c r="B202" s="1" t="s">
        <v>582</v>
      </c>
      <c r="C202" t="s">
        <v>835</v>
      </c>
      <c r="D202" s="45" t="str">
        <f t="shared" ref="D202:D257" si="8">HYPERLINK(C202)</f>
        <v>http://www.hug-globalkidsmethod04.link/hug/wm/actual_cost_management.php</v>
      </c>
      <c r="E202" t="s">
        <v>846</v>
      </c>
      <c r="F202" s="1" t="s">
        <v>849</v>
      </c>
      <c r="G202" s="55" t="str">
        <f t="shared" si="7"/>
        <v>https://www.hug-globalkidsmethod04.link/hug/wm/attendance.php?mode=detail&amp;f_id=4&amp;date=2026-05-10</v>
      </c>
    </row>
    <row r="203" spans="1:17" ht="15" thickBot="1">
      <c r="A203" s="32" t="s">
        <v>786</v>
      </c>
      <c r="B203" s="1" t="s">
        <v>581</v>
      </c>
      <c r="C203" t="s">
        <v>831</v>
      </c>
      <c r="D203" s="45" t="str">
        <f t="shared" si="8"/>
        <v>http://www.hug-globalkidsmethod03.link/hug/wm/actual_cost_management.php</v>
      </c>
      <c r="E203" t="s">
        <v>845</v>
      </c>
      <c r="F203" s="1" t="s">
        <v>849</v>
      </c>
      <c r="G203" s="55" t="str">
        <f t="shared" si="7"/>
        <v>https://www.hug-globalkidsmethod03.link/hug/wm/attendance.php?mode=detail&amp;f_id=4&amp;date=2026-05-10</v>
      </c>
    </row>
    <row r="204" spans="1:17" ht="15" thickBot="1">
      <c r="A204" s="44" t="s">
        <v>787</v>
      </c>
      <c r="B204" s="1" t="s">
        <v>579</v>
      </c>
      <c r="C204" t="s">
        <v>832</v>
      </c>
      <c r="D204" s="45" t="str">
        <f t="shared" si="8"/>
        <v>http://www.hug-globalkidsmethod06.link/hug/wm/actual_cost_management.php</v>
      </c>
      <c r="E204" t="s">
        <v>848</v>
      </c>
      <c r="F204" s="1" t="s">
        <v>849</v>
      </c>
      <c r="G204" s="55" t="str">
        <f t="shared" si="7"/>
        <v>https://www.hug-globalkidsmethod06.link/hug/wm/attendance.php?mode=detail&amp;f_id=4&amp;date=2026-05-10</v>
      </c>
    </row>
    <row r="205" spans="1:17" ht="15" thickBot="1">
      <c r="A205" s="33" t="s">
        <v>788</v>
      </c>
      <c r="B205" s="1" t="s">
        <v>582</v>
      </c>
      <c r="C205" t="s">
        <v>835</v>
      </c>
      <c r="D205" s="45" t="str">
        <f t="shared" si="8"/>
        <v>http://www.hug-globalkidsmethod04.link/hug/wm/actual_cost_management.php</v>
      </c>
      <c r="E205" t="s">
        <v>846</v>
      </c>
      <c r="F205" s="1" t="s">
        <v>849</v>
      </c>
      <c r="G205" s="55" t="str">
        <f t="shared" si="7"/>
        <v>https://www.hug-globalkidsmethod04.link/hug/wm/attendance.php?mode=detail&amp;f_id=4&amp;date=2026-05-10</v>
      </c>
    </row>
    <row r="206" spans="1:17" ht="15" thickBot="1">
      <c r="A206" s="33" t="s">
        <v>789</v>
      </c>
      <c r="B206" s="1" t="s">
        <v>582</v>
      </c>
      <c r="C206" t="s">
        <v>835</v>
      </c>
      <c r="D206" s="45" t="str">
        <f t="shared" si="8"/>
        <v>http://www.hug-globalkidsmethod04.link/hug/wm/actual_cost_management.php</v>
      </c>
      <c r="E206" t="s">
        <v>846</v>
      </c>
      <c r="F206" s="1" t="s">
        <v>849</v>
      </c>
      <c r="G206" s="55" t="str">
        <f t="shared" si="7"/>
        <v>https://www.hug-globalkidsmethod04.link/hug/wm/attendance.php?mode=detail&amp;f_id=4&amp;date=2026-05-10</v>
      </c>
    </row>
    <row r="207" spans="1:17" ht="15" thickBot="1">
      <c r="A207" s="47" t="s">
        <v>790</v>
      </c>
      <c r="B207" s="1" t="s">
        <v>575</v>
      </c>
      <c r="C207" t="s">
        <v>834</v>
      </c>
      <c r="D207" s="45" t="str">
        <f t="shared" si="8"/>
        <v>http://www.hug-globalkidsmethod.link/hug/wm/actual_cost_management.php</v>
      </c>
      <c r="E207" t="s">
        <v>843</v>
      </c>
      <c r="F207" s="1" t="s">
        <v>849</v>
      </c>
      <c r="G207" s="55" t="str">
        <f t="shared" si="7"/>
        <v>https://www.hug-globalkidsmethod.link/hug/wm/attendance.php?mode=detail&amp;f_id=4&amp;date=2026-05-10</v>
      </c>
    </row>
    <row r="208" spans="1:17" ht="15" thickBot="1">
      <c r="A208" s="33" t="s">
        <v>791</v>
      </c>
      <c r="B208" s="1" t="s">
        <v>582</v>
      </c>
      <c r="C208" t="s">
        <v>835</v>
      </c>
      <c r="D208" s="45" t="str">
        <f t="shared" si="8"/>
        <v>http://www.hug-globalkidsmethod04.link/hug/wm/actual_cost_management.php</v>
      </c>
      <c r="E208" t="s">
        <v>846</v>
      </c>
      <c r="F208" s="1" t="s">
        <v>849</v>
      </c>
      <c r="G208" s="55" t="str">
        <f t="shared" si="7"/>
        <v>https://www.hug-globalkidsmethod04.link/hug/wm/attendance.php?mode=detail&amp;f_id=4&amp;date=2026-05-10</v>
      </c>
    </row>
    <row r="209" spans="1:7" ht="15" thickBot="1">
      <c r="A209" s="47" t="s">
        <v>792</v>
      </c>
      <c r="B209" s="1" t="s">
        <v>575</v>
      </c>
      <c r="C209" t="s">
        <v>834</v>
      </c>
      <c r="D209" s="45" t="str">
        <f t="shared" si="8"/>
        <v>http://www.hug-globalkidsmethod.link/hug/wm/actual_cost_management.php</v>
      </c>
      <c r="E209" t="s">
        <v>843</v>
      </c>
      <c r="F209" s="1" t="s">
        <v>849</v>
      </c>
      <c r="G209" s="55" t="str">
        <f t="shared" si="7"/>
        <v>https://www.hug-globalkidsmethod.link/hug/wm/attendance.php?mode=detail&amp;f_id=4&amp;date=2026-05-10</v>
      </c>
    </row>
    <row r="210" spans="1:7" ht="15" thickBot="1">
      <c r="A210" s="33" t="s">
        <v>793</v>
      </c>
      <c r="B210" s="1" t="s">
        <v>582</v>
      </c>
      <c r="C210" t="s">
        <v>835</v>
      </c>
      <c r="D210" s="45" t="str">
        <f t="shared" si="8"/>
        <v>http://www.hug-globalkidsmethod04.link/hug/wm/actual_cost_management.php</v>
      </c>
      <c r="E210" t="s">
        <v>846</v>
      </c>
      <c r="F210" s="1" t="s">
        <v>849</v>
      </c>
      <c r="G210" s="55" t="str">
        <f t="shared" si="7"/>
        <v>https://www.hug-globalkidsmethod04.link/hug/wm/attendance.php?mode=detail&amp;f_id=4&amp;date=2026-05-10</v>
      </c>
    </row>
    <row r="211" spans="1:7">
      <c r="A211" s="47" t="s">
        <v>794</v>
      </c>
      <c r="B211" s="1" t="s">
        <v>575</v>
      </c>
      <c r="C211" t="s">
        <v>834</v>
      </c>
      <c r="D211" s="45" t="str">
        <f t="shared" si="8"/>
        <v>http://www.hug-globalkidsmethod.link/hug/wm/actual_cost_management.php</v>
      </c>
      <c r="E211" t="s">
        <v>843</v>
      </c>
      <c r="F211" s="1" t="s">
        <v>849</v>
      </c>
      <c r="G211" s="55" t="str">
        <f t="shared" si="7"/>
        <v>https://www.hug-globalkidsmethod.link/hug/wm/attendance.php?mode=detail&amp;f_id=4&amp;date=2026-05-10</v>
      </c>
    </row>
    <row r="212" spans="1:7">
      <c r="A212" s="47" t="s">
        <v>795</v>
      </c>
      <c r="B212" s="1" t="s">
        <v>575</v>
      </c>
      <c r="C212" t="s">
        <v>834</v>
      </c>
      <c r="D212" s="45" t="str">
        <f t="shared" si="8"/>
        <v>http://www.hug-globalkidsmethod.link/hug/wm/actual_cost_management.php</v>
      </c>
      <c r="E212" t="s">
        <v>843</v>
      </c>
      <c r="F212" s="1" t="s">
        <v>849</v>
      </c>
      <c r="G212" s="55" t="str">
        <f t="shared" si="7"/>
        <v>https://www.hug-globalkidsmethod.link/hug/wm/attendance.php?mode=detail&amp;f_id=4&amp;date=2026-05-10</v>
      </c>
    </row>
    <row r="213" spans="1:7" ht="15" thickBot="1">
      <c r="A213" s="43" t="s">
        <v>796</v>
      </c>
      <c r="B213" s="1" t="s">
        <v>580</v>
      </c>
      <c r="C213" t="s">
        <v>833</v>
      </c>
      <c r="D213" s="45" t="str">
        <f t="shared" si="8"/>
        <v>http://www.hug-globalkidsmethod02.link/hug/wm/actual_cost_management.php</v>
      </c>
      <c r="E213" t="s">
        <v>844</v>
      </c>
      <c r="F213" s="1" t="s">
        <v>849</v>
      </c>
      <c r="G213" s="55" t="str">
        <f t="shared" si="7"/>
        <v>https://www.hug-globalkidsmethod02.link/hug/wm/attendance.php?mode=detail&amp;f_id=4&amp;date=2026-05-10</v>
      </c>
    </row>
    <row r="214" spans="1:7" ht="15" thickBot="1">
      <c r="A214" s="32" t="s">
        <v>797</v>
      </c>
      <c r="B214" s="1" t="s">
        <v>581</v>
      </c>
      <c r="C214" t="s">
        <v>831</v>
      </c>
      <c r="D214" s="45" t="str">
        <f t="shared" si="8"/>
        <v>http://www.hug-globalkidsmethod03.link/hug/wm/actual_cost_management.php</v>
      </c>
      <c r="E214" t="s">
        <v>845</v>
      </c>
      <c r="F214" s="1" t="s">
        <v>849</v>
      </c>
      <c r="G214" s="55" t="str">
        <f t="shared" si="7"/>
        <v>https://www.hug-globalkidsmethod03.link/hug/wm/attendance.php?mode=detail&amp;f_id=4&amp;date=2026-05-10</v>
      </c>
    </row>
    <row r="215" spans="1:7" ht="15" thickBot="1">
      <c r="A215" s="32" t="s">
        <v>798</v>
      </c>
      <c r="B215" s="1" t="s">
        <v>581</v>
      </c>
      <c r="C215" t="s">
        <v>831</v>
      </c>
      <c r="D215" s="45" t="str">
        <f t="shared" si="8"/>
        <v>http://www.hug-globalkidsmethod03.link/hug/wm/actual_cost_management.php</v>
      </c>
      <c r="E215" t="s">
        <v>845</v>
      </c>
      <c r="F215" s="1" t="s">
        <v>849</v>
      </c>
      <c r="G215" s="55" t="str">
        <f t="shared" si="7"/>
        <v>https://www.hug-globalkidsmethod03.link/hug/wm/attendance.php?mode=detail&amp;f_id=4&amp;date=2026-05-10</v>
      </c>
    </row>
    <row r="216" spans="1:7" ht="15" thickBot="1">
      <c r="A216" s="32" t="s">
        <v>799</v>
      </c>
      <c r="B216" s="1" t="s">
        <v>581</v>
      </c>
      <c r="C216" t="s">
        <v>831</v>
      </c>
      <c r="D216" s="45" t="str">
        <f t="shared" si="8"/>
        <v>http://www.hug-globalkidsmethod03.link/hug/wm/actual_cost_management.php</v>
      </c>
      <c r="E216" t="s">
        <v>845</v>
      </c>
      <c r="F216" s="1" t="s">
        <v>849</v>
      </c>
      <c r="G216" s="55" t="str">
        <f t="shared" si="7"/>
        <v>https://www.hug-globalkidsmethod03.link/hug/wm/attendance.php?mode=detail&amp;f_id=4&amp;date=2026-05-10</v>
      </c>
    </row>
    <row r="217" spans="1:7" ht="15" thickBot="1">
      <c r="A217" s="32" t="s">
        <v>800</v>
      </c>
      <c r="B217" s="1" t="s">
        <v>581</v>
      </c>
      <c r="C217" t="s">
        <v>831</v>
      </c>
      <c r="D217" s="45" t="str">
        <f t="shared" si="8"/>
        <v>http://www.hug-globalkidsmethod03.link/hug/wm/actual_cost_management.php</v>
      </c>
      <c r="E217" t="s">
        <v>845</v>
      </c>
      <c r="F217" s="1" t="s">
        <v>849</v>
      </c>
      <c r="G217" s="55" t="str">
        <f t="shared" si="7"/>
        <v>https://www.hug-globalkidsmethod03.link/hug/wm/attendance.php?mode=detail&amp;f_id=4&amp;date=2026-05-10</v>
      </c>
    </row>
    <row r="218" spans="1:7" ht="15" thickBot="1">
      <c r="A218" s="41" t="s">
        <v>801</v>
      </c>
      <c r="B218" s="1" t="s">
        <v>578</v>
      </c>
      <c r="C218" t="s">
        <v>836</v>
      </c>
      <c r="D218" s="45" t="str">
        <f t="shared" si="8"/>
        <v>http://www.hug-globalkidsmethod05.link/hug/wm/actual_cost_management.php</v>
      </c>
      <c r="E218" t="s">
        <v>847</v>
      </c>
      <c r="F218" s="1" t="s">
        <v>849</v>
      </c>
      <c r="G218" s="55" t="str">
        <f t="shared" si="7"/>
        <v>https://www.hug-globalkidsmethod05.link/hug/wm/attendance.php?mode=detail&amp;f_id=4&amp;date=2026-05-10</v>
      </c>
    </row>
    <row r="219" spans="1:7" ht="15" thickBot="1">
      <c r="A219" s="33" t="s">
        <v>802</v>
      </c>
      <c r="B219" s="1" t="s">
        <v>582</v>
      </c>
      <c r="C219" t="s">
        <v>835</v>
      </c>
      <c r="D219" s="45" t="str">
        <f t="shared" si="8"/>
        <v>http://www.hug-globalkidsmethod04.link/hug/wm/actual_cost_management.php</v>
      </c>
      <c r="E219" t="s">
        <v>846</v>
      </c>
      <c r="F219" s="1" t="s">
        <v>849</v>
      </c>
      <c r="G219" s="55" t="str">
        <f t="shared" si="7"/>
        <v>https://www.hug-globalkidsmethod04.link/hug/wm/attendance.php?mode=detail&amp;f_id=4&amp;date=2026-05-10</v>
      </c>
    </row>
    <row r="220" spans="1:7" ht="15" thickBot="1">
      <c r="A220" s="41" t="s">
        <v>803</v>
      </c>
      <c r="B220" s="1" t="s">
        <v>578</v>
      </c>
      <c r="C220" t="s">
        <v>836</v>
      </c>
      <c r="D220" s="45" t="str">
        <f t="shared" si="8"/>
        <v>http://www.hug-globalkidsmethod05.link/hug/wm/actual_cost_management.php</v>
      </c>
      <c r="E220" t="s">
        <v>847</v>
      </c>
      <c r="F220" s="1" t="s">
        <v>849</v>
      </c>
      <c r="G220" s="55" t="str">
        <f t="shared" si="7"/>
        <v>https://www.hug-globalkidsmethod05.link/hug/wm/attendance.php?mode=detail&amp;f_id=4&amp;date=2026-05-10</v>
      </c>
    </row>
    <row r="221" spans="1:7" ht="15" thickBot="1">
      <c r="A221" s="33" t="s">
        <v>804</v>
      </c>
      <c r="B221" s="1" t="s">
        <v>582</v>
      </c>
      <c r="C221" t="s">
        <v>835</v>
      </c>
      <c r="D221" s="45" t="str">
        <f t="shared" si="8"/>
        <v>http://www.hug-globalkidsmethod04.link/hug/wm/actual_cost_management.php</v>
      </c>
      <c r="E221" t="s">
        <v>846</v>
      </c>
      <c r="F221" s="1" t="s">
        <v>849</v>
      </c>
      <c r="G221" s="55" t="str">
        <f t="shared" si="7"/>
        <v>https://www.hug-globalkidsmethod04.link/hug/wm/attendance.php?mode=detail&amp;f_id=4&amp;date=2026-05-10</v>
      </c>
    </row>
    <row r="222" spans="1:7" ht="15" thickBot="1">
      <c r="A222" s="32" t="s">
        <v>805</v>
      </c>
      <c r="B222" s="1" t="s">
        <v>581</v>
      </c>
      <c r="C222" t="s">
        <v>831</v>
      </c>
      <c r="D222" s="45" t="str">
        <f t="shared" si="8"/>
        <v>http://www.hug-globalkidsmethod03.link/hug/wm/actual_cost_management.php</v>
      </c>
      <c r="E222" t="s">
        <v>845</v>
      </c>
      <c r="F222" s="1" t="s">
        <v>849</v>
      </c>
      <c r="G222" s="55" t="str">
        <f t="shared" si="7"/>
        <v>https://www.hug-globalkidsmethod03.link/hug/wm/attendance.php?mode=detail&amp;f_id=4&amp;date=2026-05-10</v>
      </c>
    </row>
    <row r="223" spans="1:7">
      <c r="A223" s="43" t="s">
        <v>806</v>
      </c>
      <c r="B223" s="1" t="s">
        <v>580</v>
      </c>
      <c r="C223" t="s">
        <v>833</v>
      </c>
      <c r="D223" s="45" t="str">
        <f t="shared" si="8"/>
        <v>http://www.hug-globalkidsmethod02.link/hug/wm/actual_cost_management.php</v>
      </c>
      <c r="E223" t="s">
        <v>844</v>
      </c>
      <c r="F223" s="1" t="s">
        <v>849</v>
      </c>
      <c r="G223" s="55" t="str">
        <f t="shared" si="7"/>
        <v>https://www.hug-globalkidsmethod02.link/hug/wm/attendance.php?mode=detail&amp;f_id=4&amp;date=2026-05-10</v>
      </c>
    </row>
    <row r="224" spans="1:7" ht="15" thickBot="1">
      <c r="A224" s="43" t="s">
        <v>807</v>
      </c>
      <c r="B224" s="1" t="s">
        <v>580</v>
      </c>
      <c r="C224" t="s">
        <v>833</v>
      </c>
      <c r="D224" s="45" t="str">
        <f t="shared" si="8"/>
        <v>http://www.hug-globalkidsmethod02.link/hug/wm/actual_cost_management.php</v>
      </c>
      <c r="E224" t="s">
        <v>844</v>
      </c>
      <c r="F224" s="1" t="s">
        <v>849</v>
      </c>
      <c r="G224" s="55" t="str">
        <f t="shared" si="7"/>
        <v>https://www.hug-globalkidsmethod02.link/hug/wm/attendance.php?mode=detail&amp;f_id=4&amp;date=2026-05-10</v>
      </c>
    </row>
    <row r="225" spans="1:7" ht="15" thickBot="1">
      <c r="A225" s="32" t="s">
        <v>808</v>
      </c>
      <c r="B225" s="1" t="s">
        <v>581</v>
      </c>
      <c r="C225" t="s">
        <v>831</v>
      </c>
      <c r="D225" s="45" t="str">
        <f t="shared" si="8"/>
        <v>http://www.hug-globalkidsmethod03.link/hug/wm/actual_cost_management.php</v>
      </c>
      <c r="E225" t="s">
        <v>845</v>
      </c>
      <c r="F225" s="1" t="s">
        <v>849</v>
      </c>
      <c r="G225" s="55" t="str">
        <f t="shared" si="7"/>
        <v>https://www.hug-globalkidsmethod03.link/hug/wm/attendance.php?mode=detail&amp;f_id=4&amp;date=2026-05-10</v>
      </c>
    </row>
    <row r="226" spans="1:7" ht="15" thickBot="1">
      <c r="A226" s="44" t="s">
        <v>860</v>
      </c>
      <c r="B226" s="1" t="s">
        <v>579</v>
      </c>
      <c r="C226" t="s">
        <v>832</v>
      </c>
      <c r="D226" s="45" t="str">
        <f t="shared" si="8"/>
        <v>http://www.hug-globalkidsmethod06.link/hug/wm/actual_cost_management.php</v>
      </c>
      <c r="E226" t="s">
        <v>848</v>
      </c>
      <c r="F226" s="1" t="s">
        <v>849</v>
      </c>
      <c r="G226" s="55" t="str">
        <f t="shared" si="7"/>
        <v>https://www.hug-globalkidsmethod06.link/hug/wm/attendance.php?mode=detail&amp;f_id=4&amp;date=2026-05-10</v>
      </c>
    </row>
    <row r="227" spans="1:7" ht="15" thickBot="1">
      <c r="A227" s="32" t="s">
        <v>809</v>
      </c>
      <c r="B227" s="1" t="s">
        <v>581</v>
      </c>
      <c r="C227" t="s">
        <v>831</v>
      </c>
      <c r="D227" s="45" t="str">
        <f t="shared" si="8"/>
        <v>http://www.hug-globalkidsmethod03.link/hug/wm/actual_cost_management.php</v>
      </c>
      <c r="E227" t="s">
        <v>845</v>
      </c>
      <c r="F227" s="1" t="s">
        <v>849</v>
      </c>
      <c r="G227" s="55" t="str">
        <f t="shared" si="7"/>
        <v>https://www.hug-globalkidsmethod03.link/hug/wm/attendance.php?mode=detail&amp;f_id=4&amp;date=2026-05-10</v>
      </c>
    </row>
    <row r="228" spans="1:7" ht="15" thickBot="1">
      <c r="A228" s="43" t="s">
        <v>810</v>
      </c>
      <c r="B228" s="1" t="s">
        <v>580</v>
      </c>
      <c r="C228" t="s">
        <v>833</v>
      </c>
      <c r="D228" s="45" t="str">
        <f t="shared" si="8"/>
        <v>http://www.hug-globalkidsmethod02.link/hug/wm/actual_cost_management.php</v>
      </c>
      <c r="E228" t="s">
        <v>844</v>
      </c>
      <c r="F228" s="1" t="s">
        <v>849</v>
      </c>
      <c r="G228" s="55" t="str">
        <f t="shared" si="7"/>
        <v>https://www.hug-globalkidsmethod02.link/hug/wm/attendance.php?mode=detail&amp;f_id=4&amp;date=2026-05-10</v>
      </c>
    </row>
    <row r="229" spans="1:7" ht="27" thickBot="1">
      <c r="A229" s="32" t="s">
        <v>811</v>
      </c>
      <c r="B229" s="1" t="s">
        <v>581</v>
      </c>
      <c r="C229" t="s">
        <v>831</v>
      </c>
      <c r="D229" s="45" t="str">
        <f t="shared" si="8"/>
        <v>http://www.hug-globalkidsmethod03.link/hug/wm/actual_cost_management.php</v>
      </c>
      <c r="E229" t="s">
        <v>845</v>
      </c>
      <c r="F229" s="1" t="s">
        <v>849</v>
      </c>
      <c r="G229" s="55" t="str">
        <f t="shared" si="7"/>
        <v>https://www.hug-globalkidsmethod03.link/hug/wm/attendance.php?mode=detail&amp;f_id=4&amp;date=2026-05-10</v>
      </c>
    </row>
    <row r="230" spans="1:7" ht="15" thickBot="1">
      <c r="A230" s="32" t="s">
        <v>812</v>
      </c>
      <c r="B230" s="1" t="s">
        <v>581</v>
      </c>
      <c r="C230" t="s">
        <v>831</v>
      </c>
      <c r="D230" s="45" t="str">
        <f t="shared" si="8"/>
        <v>http://www.hug-globalkidsmethod03.link/hug/wm/actual_cost_management.php</v>
      </c>
      <c r="E230" t="s">
        <v>845</v>
      </c>
      <c r="F230" s="1" t="s">
        <v>849</v>
      </c>
      <c r="G230" s="55" t="str">
        <f t="shared" si="7"/>
        <v>https://www.hug-globalkidsmethod03.link/hug/wm/attendance.php?mode=detail&amp;f_id=4&amp;date=2026-05-10</v>
      </c>
    </row>
    <row r="231" spans="1:7" ht="27" thickBot="1">
      <c r="A231" s="46" t="s">
        <v>852</v>
      </c>
      <c r="B231" s="1" t="s">
        <v>575</v>
      </c>
      <c r="C231" t="s">
        <v>834</v>
      </c>
      <c r="D231" s="45" t="str">
        <f t="shared" si="8"/>
        <v>http://www.hug-globalkidsmethod.link/hug/wm/actual_cost_management.php</v>
      </c>
      <c r="E231" t="s">
        <v>843</v>
      </c>
      <c r="F231" s="1" t="s">
        <v>849</v>
      </c>
      <c r="G231" s="55" t="str">
        <f t="shared" si="7"/>
        <v>https://www.hug-globalkidsmethod.link/hug/wm/attendance.php?mode=detail&amp;f_id=4&amp;date=2026-05-10</v>
      </c>
    </row>
    <row r="232" spans="1:7" ht="15" thickBot="1">
      <c r="A232" s="33" t="s">
        <v>813</v>
      </c>
      <c r="B232" s="1" t="s">
        <v>582</v>
      </c>
      <c r="C232" t="s">
        <v>835</v>
      </c>
      <c r="D232" s="45" t="str">
        <f t="shared" si="8"/>
        <v>http://www.hug-globalkidsmethod04.link/hug/wm/actual_cost_management.php</v>
      </c>
      <c r="E232" t="s">
        <v>846</v>
      </c>
      <c r="F232" s="1" t="s">
        <v>849</v>
      </c>
      <c r="G232" s="55" t="str">
        <f t="shared" si="7"/>
        <v>https://www.hug-globalkidsmethod04.link/hug/wm/attendance.php?mode=detail&amp;f_id=4&amp;date=2026-05-10</v>
      </c>
    </row>
    <row r="233" spans="1:7">
      <c r="A233" s="43" t="s">
        <v>814</v>
      </c>
      <c r="B233" s="1" t="s">
        <v>580</v>
      </c>
      <c r="C233" t="s">
        <v>833</v>
      </c>
      <c r="D233" s="45" t="str">
        <f t="shared" si="8"/>
        <v>http://www.hug-globalkidsmethod02.link/hug/wm/actual_cost_management.php</v>
      </c>
      <c r="E233" t="s">
        <v>844</v>
      </c>
      <c r="F233" s="1" t="s">
        <v>849</v>
      </c>
      <c r="G233" s="55" t="str">
        <f t="shared" si="7"/>
        <v>https://www.hug-globalkidsmethod02.link/hug/wm/attendance.php?mode=detail&amp;f_id=4&amp;date=2026-05-10</v>
      </c>
    </row>
    <row r="234" spans="1:7">
      <c r="A234" s="43" t="s">
        <v>853</v>
      </c>
      <c r="B234" s="1" t="s">
        <v>580</v>
      </c>
      <c r="C234" t="s">
        <v>833</v>
      </c>
      <c r="D234" s="45" t="str">
        <f t="shared" ref="D234" si="9">HYPERLINK(C234)</f>
        <v>http://www.hug-globalkidsmethod02.link/hug/wm/actual_cost_management.php</v>
      </c>
      <c r="E234" t="s">
        <v>844</v>
      </c>
      <c r="F234" s="1" t="s">
        <v>849</v>
      </c>
      <c r="G234" s="55" t="str">
        <f t="shared" ref="G234" si="10">HYPERLINK(E234&amp;F234)</f>
        <v>https://www.hug-globalkidsmethod02.link/hug/wm/attendance.php?mode=detail&amp;f_id=4&amp;date=2026-05-10</v>
      </c>
    </row>
    <row r="235" spans="1:7" ht="15" thickBot="1">
      <c r="A235" s="43" t="s">
        <v>815</v>
      </c>
      <c r="B235" s="1" t="s">
        <v>580</v>
      </c>
      <c r="C235" t="s">
        <v>833</v>
      </c>
      <c r="D235" s="45" t="str">
        <f t="shared" si="8"/>
        <v>http://www.hug-globalkidsmethod02.link/hug/wm/actual_cost_management.php</v>
      </c>
      <c r="E235" t="s">
        <v>844</v>
      </c>
      <c r="F235" s="1" t="s">
        <v>849</v>
      </c>
      <c r="G235" s="55" t="str">
        <f t="shared" si="7"/>
        <v>https://www.hug-globalkidsmethod02.link/hug/wm/attendance.php?mode=detail&amp;f_id=4&amp;date=2026-05-10</v>
      </c>
    </row>
    <row r="236" spans="1:7" ht="15" thickBot="1">
      <c r="A236" s="33" t="s">
        <v>816</v>
      </c>
      <c r="B236" s="1" t="s">
        <v>582</v>
      </c>
      <c r="C236" t="s">
        <v>835</v>
      </c>
      <c r="D236" s="45" t="str">
        <f t="shared" si="8"/>
        <v>http://www.hug-globalkidsmethod04.link/hug/wm/actual_cost_management.php</v>
      </c>
      <c r="E236" t="s">
        <v>846</v>
      </c>
      <c r="F236" s="1" t="s">
        <v>849</v>
      </c>
      <c r="G236" s="55" t="str">
        <f t="shared" si="7"/>
        <v>https://www.hug-globalkidsmethod04.link/hug/wm/attendance.php?mode=detail&amp;f_id=4&amp;date=2026-05-10</v>
      </c>
    </row>
    <row r="237" spans="1:7" ht="15" thickBot="1">
      <c r="A237" s="43" t="s">
        <v>817</v>
      </c>
      <c r="B237" s="1" t="s">
        <v>580</v>
      </c>
      <c r="C237" t="s">
        <v>833</v>
      </c>
      <c r="D237" s="45" t="str">
        <f t="shared" si="8"/>
        <v>http://www.hug-globalkidsmethod02.link/hug/wm/actual_cost_management.php</v>
      </c>
      <c r="E237" t="s">
        <v>844</v>
      </c>
      <c r="F237" s="1" t="s">
        <v>849</v>
      </c>
      <c r="G237" s="55" t="str">
        <f t="shared" si="7"/>
        <v>https://www.hug-globalkidsmethod02.link/hug/wm/attendance.php?mode=detail&amp;f_id=4&amp;date=2026-05-10</v>
      </c>
    </row>
    <row r="238" spans="1:7" ht="15" thickBot="1">
      <c r="A238" s="32" t="s">
        <v>586</v>
      </c>
      <c r="B238" s="1" t="s">
        <v>581</v>
      </c>
      <c r="C238" t="s">
        <v>831</v>
      </c>
      <c r="D238" s="45" t="str">
        <f t="shared" si="8"/>
        <v>http://www.hug-globalkidsmethod03.link/hug/wm/actual_cost_management.php</v>
      </c>
      <c r="E238" t="s">
        <v>845</v>
      </c>
      <c r="F238" s="1" t="s">
        <v>849</v>
      </c>
      <c r="G238" s="55" t="str">
        <f t="shared" si="7"/>
        <v>https://www.hug-globalkidsmethod03.link/hug/wm/attendance.php?mode=detail&amp;f_id=4&amp;date=2026-05-10</v>
      </c>
    </row>
    <row r="239" spans="1:7" ht="15" thickBot="1">
      <c r="A239" s="46" t="s">
        <v>854</v>
      </c>
      <c r="B239" s="1" t="s">
        <v>575</v>
      </c>
      <c r="C239" s="1" t="s">
        <v>834</v>
      </c>
      <c r="D239" s="45" t="str">
        <f t="shared" si="8"/>
        <v>http://www.hug-globalkidsmethod.link/hug/wm/actual_cost_management.php</v>
      </c>
      <c r="E239" t="s">
        <v>843</v>
      </c>
      <c r="F239" s="1" t="s">
        <v>849</v>
      </c>
      <c r="G239" s="55" t="str">
        <f t="shared" si="7"/>
        <v>https://www.hug-globalkidsmethod.link/hug/wm/attendance.php?mode=detail&amp;f_id=4&amp;date=2026-05-10</v>
      </c>
    </row>
    <row r="240" spans="1:7" ht="15" thickBot="1">
      <c r="A240" s="43" t="s">
        <v>818</v>
      </c>
      <c r="B240" s="1" t="s">
        <v>580</v>
      </c>
      <c r="C240" s="1" t="s">
        <v>833</v>
      </c>
      <c r="D240" s="45" t="str">
        <f t="shared" si="8"/>
        <v>http://www.hug-globalkidsmethod02.link/hug/wm/actual_cost_management.php</v>
      </c>
      <c r="E240" t="s">
        <v>844</v>
      </c>
      <c r="F240" s="1" t="s">
        <v>849</v>
      </c>
      <c r="G240" s="55" t="str">
        <f t="shared" si="7"/>
        <v>https://www.hug-globalkidsmethod02.link/hug/wm/attendance.php?mode=detail&amp;f_id=4&amp;date=2026-05-10</v>
      </c>
    </row>
    <row r="241" spans="1:7" ht="15" thickBot="1">
      <c r="A241" s="33" t="s">
        <v>819</v>
      </c>
      <c r="B241" s="1" t="s">
        <v>582</v>
      </c>
      <c r="C241" s="1" t="s">
        <v>835</v>
      </c>
      <c r="D241" s="45" t="str">
        <f t="shared" si="8"/>
        <v>http://www.hug-globalkidsmethod04.link/hug/wm/actual_cost_management.php</v>
      </c>
      <c r="E241" t="s">
        <v>846</v>
      </c>
      <c r="F241" s="1" t="s">
        <v>849</v>
      </c>
      <c r="G241" s="55" t="str">
        <f t="shared" si="7"/>
        <v>https://www.hug-globalkidsmethod04.link/hug/wm/attendance.php?mode=detail&amp;f_id=4&amp;date=2026-05-10</v>
      </c>
    </row>
    <row r="242" spans="1:7" ht="15" thickBot="1">
      <c r="A242" s="32" t="s">
        <v>587</v>
      </c>
      <c r="B242" s="1" t="s">
        <v>581</v>
      </c>
      <c r="C242" s="1" t="s">
        <v>831</v>
      </c>
      <c r="D242" s="45" t="str">
        <f t="shared" si="8"/>
        <v>http://www.hug-globalkidsmethod03.link/hug/wm/actual_cost_management.php</v>
      </c>
      <c r="E242" t="s">
        <v>845</v>
      </c>
      <c r="F242" s="1" t="s">
        <v>849</v>
      </c>
      <c r="G242" s="55" t="str">
        <f t="shared" si="7"/>
        <v>https://www.hug-globalkidsmethod03.link/hug/wm/attendance.php?mode=detail&amp;f_id=4&amp;date=2026-05-10</v>
      </c>
    </row>
    <row r="243" spans="1:7" ht="15" thickBot="1">
      <c r="A243" s="32" t="s">
        <v>588</v>
      </c>
      <c r="B243" s="1" t="s">
        <v>581</v>
      </c>
      <c r="C243" s="1" t="s">
        <v>831</v>
      </c>
      <c r="D243" s="45" t="str">
        <f t="shared" si="8"/>
        <v>http://www.hug-globalkidsmethod03.link/hug/wm/actual_cost_management.php</v>
      </c>
      <c r="E243" t="s">
        <v>845</v>
      </c>
      <c r="F243" s="1" t="s">
        <v>849</v>
      </c>
      <c r="G243" s="55" t="str">
        <f t="shared" si="7"/>
        <v>https://www.hug-globalkidsmethod03.link/hug/wm/attendance.php?mode=detail&amp;f_id=4&amp;date=2026-05-10</v>
      </c>
    </row>
    <row r="244" spans="1:7" ht="15" thickBot="1">
      <c r="A244" s="33" t="s">
        <v>589</v>
      </c>
      <c r="B244" s="1" t="s">
        <v>582</v>
      </c>
      <c r="C244" s="1" t="s">
        <v>835</v>
      </c>
      <c r="D244" s="45" t="str">
        <f t="shared" si="8"/>
        <v>http://www.hug-globalkidsmethod04.link/hug/wm/actual_cost_management.php</v>
      </c>
      <c r="E244" t="s">
        <v>846</v>
      </c>
      <c r="F244" s="1" t="s">
        <v>849</v>
      </c>
      <c r="G244" s="55" t="str">
        <f t="shared" si="7"/>
        <v>https://www.hug-globalkidsmethod04.link/hug/wm/attendance.php?mode=detail&amp;f_id=4&amp;date=2026-05-10</v>
      </c>
    </row>
    <row r="245" spans="1:7" ht="15" thickBot="1">
      <c r="A245" s="32" t="s">
        <v>590</v>
      </c>
      <c r="B245" s="1" t="s">
        <v>581</v>
      </c>
      <c r="C245" s="1" t="s">
        <v>831</v>
      </c>
      <c r="D245" s="45" t="str">
        <f t="shared" si="8"/>
        <v>http://www.hug-globalkidsmethod03.link/hug/wm/actual_cost_management.php</v>
      </c>
      <c r="E245" t="s">
        <v>845</v>
      </c>
      <c r="F245" s="1" t="s">
        <v>849</v>
      </c>
      <c r="G245" s="55" t="str">
        <f t="shared" si="7"/>
        <v>https://www.hug-globalkidsmethod03.link/hug/wm/attendance.php?mode=detail&amp;f_id=4&amp;date=2026-05-10</v>
      </c>
    </row>
    <row r="246" spans="1:7" ht="15" thickBot="1">
      <c r="A246" s="43" t="s">
        <v>820</v>
      </c>
      <c r="B246" s="1" t="s">
        <v>580</v>
      </c>
      <c r="C246" s="1" t="s">
        <v>833</v>
      </c>
      <c r="D246" s="45" t="str">
        <f t="shared" si="8"/>
        <v>http://www.hug-globalkidsmethod02.link/hug/wm/actual_cost_management.php</v>
      </c>
      <c r="E246" t="s">
        <v>844</v>
      </c>
      <c r="F246" s="1" t="s">
        <v>849</v>
      </c>
      <c r="G246" s="55" t="str">
        <f t="shared" si="7"/>
        <v>https://www.hug-globalkidsmethod02.link/hug/wm/attendance.php?mode=detail&amp;f_id=4&amp;date=2026-05-10</v>
      </c>
    </row>
    <row r="247" spans="1:7" ht="15" thickBot="1">
      <c r="A247" s="46" t="s">
        <v>821</v>
      </c>
      <c r="B247" s="1" t="s">
        <v>575</v>
      </c>
      <c r="C247" s="1" t="s">
        <v>834</v>
      </c>
      <c r="D247" s="45" t="str">
        <f t="shared" si="8"/>
        <v>http://www.hug-globalkidsmethod.link/hug/wm/actual_cost_management.php</v>
      </c>
      <c r="E247" t="s">
        <v>843</v>
      </c>
      <c r="F247" s="1" t="s">
        <v>849</v>
      </c>
      <c r="G247" s="55" t="str">
        <f t="shared" si="7"/>
        <v>https://www.hug-globalkidsmethod.link/hug/wm/attendance.php?mode=detail&amp;f_id=4&amp;date=2026-05-10</v>
      </c>
    </row>
    <row r="248" spans="1:7" ht="15" thickBot="1">
      <c r="A248" s="53" t="s">
        <v>839</v>
      </c>
      <c r="B248" s="1" t="s">
        <v>575</v>
      </c>
      <c r="C248" s="1" t="s">
        <v>834</v>
      </c>
      <c r="D248" s="45" t="str">
        <f t="shared" si="8"/>
        <v>http://www.hug-globalkidsmethod.link/hug/wm/actual_cost_management.php</v>
      </c>
      <c r="E248" t="s">
        <v>843</v>
      </c>
      <c r="F248" s="1" t="s">
        <v>849</v>
      </c>
      <c r="G248" s="55" t="str">
        <f t="shared" si="7"/>
        <v>https://www.hug-globalkidsmethod.link/hug/wm/attendance.php?mode=detail&amp;f_id=4&amp;date=2026-05-10</v>
      </c>
    </row>
    <row r="249" spans="1:7" ht="15" thickBot="1">
      <c r="A249" s="33" t="s">
        <v>574</v>
      </c>
      <c r="B249" s="1" t="s">
        <v>582</v>
      </c>
      <c r="C249" s="1" t="s">
        <v>835</v>
      </c>
      <c r="D249" s="45" t="str">
        <f t="shared" si="8"/>
        <v>http://www.hug-globalkidsmethod04.link/hug/wm/actual_cost_management.php</v>
      </c>
      <c r="E249" t="s">
        <v>846</v>
      </c>
      <c r="F249" s="1" t="s">
        <v>849</v>
      </c>
      <c r="G249" s="55" t="str">
        <f t="shared" si="7"/>
        <v>https://www.hug-globalkidsmethod04.link/hug/wm/attendance.php?mode=detail&amp;f_id=4&amp;date=2026-05-10</v>
      </c>
    </row>
    <row r="250" spans="1:7" ht="15" thickBot="1">
      <c r="A250" s="44" t="s">
        <v>855</v>
      </c>
      <c r="B250" s="1" t="s">
        <v>579</v>
      </c>
      <c r="C250" t="s">
        <v>832</v>
      </c>
      <c r="D250" s="45" t="str">
        <f t="shared" ref="D250:D251" si="11">HYPERLINK(C250)</f>
        <v>http://www.hug-globalkidsmethod06.link/hug/wm/actual_cost_management.php</v>
      </c>
      <c r="E250" t="s">
        <v>848</v>
      </c>
      <c r="F250" s="1" t="s">
        <v>849</v>
      </c>
      <c r="G250" s="55" t="str">
        <f t="shared" ref="G250:G251" si="12">HYPERLINK(E250&amp;F250)</f>
        <v>https://www.hug-globalkidsmethod06.link/hug/wm/attendance.php?mode=detail&amp;f_id=4&amp;date=2026-05-10</v>
      </c>
    </row>
    <row r="251" spans="1:7" ht="15" thickBot="1">
      <c r="A251" s="32" t="s">
        <v>856</v>
      </c>
      <c r="B251" s="1" t="s">
        <v>857</v>
      </c>
      <c r="C251" s="1" t="s">
        <v>831</v>
      </c>
      <c r="D251" s="45" t="str">
        <f t="shared" si="11"/>
        <v>http://www.hug-globalkidsmethod03.link/hug/wm/actual_cost_management.php</v>
      </c>
      <c r="E251" t="s">
        <v>845</v>
      </c>
      <c r="F251" s="1" t="s">
        <v>849</v>
      </c>
      <c r="G251" s="55" t="str">
        <f t="shared" si="12"/>
        <v>https://www.hug-globalkidsmethod03.link/hug/wm/attendance.php?mode=detail&amp;f_id=4&amp;date=2026-05-10</v>
      </c>
    </row>
    <row r="252" spans="1:7" ht="15" thickBot="1">
      <c r="A252" s="48" t="s">
        <v>822</v>
      </c>
      <c r="B252" s="1" t="s">
        <v>575</v>
      </c>
      <c r="C252" s="1" t="s">
        <v>834</v>
      </c>
      <c r="D252" s="45" t="str">
        <f t="shared" si="8"/>
        <v>http://www.hug-globalkidsmethod.link/hug/wm/actual_cost_management.php</v>
      </c>
      <c r="E252" t="s">
        <v>843</v>
      </c>
      <c r="F252" s="1" t="s">
        <v>849</v>
      </c>
      <c r="G252" s="55" t="str">
        <f t="shared" si="7"/>
        <v>https://www.hug-globalkidsmethod.link/hug/wm/attendance.php?mode=detail&amp;f_id=4&amp;date=2026-05-10</v>
      </c>
    </row>
    <row r="253" spans="1:7" ht="15" thickBot="1">
      <c r="A253" s="52" t="s">
        <v>566</v>
      </c>
      <c r="B253" s="1" t="s">
        <v>591</v>
      </c>
      <c r="D253" s="45" t="str">
        <f t="shared" si="8"/>
        <v/>
      </c>
      <c r="E253" s="1"/>
      <c r="G253" s="55" t="str">
        <f t="shared" si="7"/>
        <v/>
      </c>
    </row>
    <row r="254" spans="1:7" ht="15" thickBot="1">
      <c r="A254" s="52" t="s">
        <v>309</v>
      </c>
      <c r="B254" s="1" t="s">
        <v>591</v>
      </c>
      <c r="D254" s="45" t="str">
        <f t="shared" si="8"/>
        <v/>
      </c>
      <c r="E254" s="1"/>
      <c r="G254" s="55" t="str">
        <f t="shared" si="7"/>
        <v/>
      </c>
    </row>
    <row r="255" spans="1:7" ht="15" thickBot="1">
      <c r="A255" s="52" t="s">
        <v>356</v>
      </c>
      <c r="B255" s="1" t="s">
        <v>591</v>
      </c>
      <c r="D255" s="45" t="str">
        <f t="shared" si="8"/>
        <v/>
      </c>
      <c r="E255" s="1"/>
      <c r="G255" s="55" t="str">
        <f t="shared" si="7"/>
        <v/>
      </c>
    </row>
    <row r="256" spans="1:7" ht="15" thickBot="1">
      <c r="A256" s="52" t="s">
        <v>357</v>
      </c>
      <c r="B256" s="1" t="s">
        <v>591</v>
      </c>
      <c r="D256" s="45" t="str">
        <f t="shared" si="8"/>
        <v/>
      </c>
      <c r="E256" s="1"/>
      <c r="G256" s="55" t="str">
        <f t="shared" si="7"/>
        <v/>
      </c>
    </row>
    <row r="257" spans="1:7" ht="15" thickBot="1">
      <c r="A257" s="52" t="s">
        <v>576</v>
      </c>
      <c r="B257" s="1" t="s">
        <v>591</v>
      </c>
      <c r="D257" s="45" t="str">
        <f t="shared" si="8"/>
        <v/>
      </c>
      <c r="E257" s="1"/>
      <c r="G257" s="55" t="str">
        <f t="shared" si="7"/>
        <v/>
      </c>
    </row>
    <row r="258" spans="1:7">
      <c r="A258"/>
    </row>
    <row r="259" spans="1:7">
      <c r="A259"/>
      <c r="D259" s="45"/>
    </row>
    <row r="260" spans="1:7">
      <c r="A260"/>
    </row>
    <row r="261" spans="1:7">
      <c r="A261"/>
    </row>
    <row r="262" spans="1:7">
      <c r="A262"/>
    </row>
    <row r="263" spans="1:7">
      <c r="A263"/>
    </row>
    <row r="264" spans="1:7">
      <c r="A264"/>
    </row>
    <row r="265" spans="1:7">
      <c r="A265"/>
    </row>
    <row r="266" spans="1:7">
      <c r="A266"/>
    </row>
    <row r="267" spans="1:7">
      <c r="A267"/>
    </row>
    <row r="268" spans="1:7">
      <c r="A268"/>
    </row>
    <row r="269" spans="1:7">
      <c r="A269"/>
    </row>
    <row r="270" spans="1:7">
      <c r="A270"/>
    </row>
    <row r="271" spans="1:7">
      <c r="A271"/>
    </row>
    <row r="272" spans="1:7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</sheetData>
  <autoFilter ref="A1:D257" xr:uid="{B079C589-7596-4609-B67D-017B04705E94}"/>
  <sortState xmlns:xlrd2="http://schemas.microsoft.com/office/spreadsheetml/2017/richdata2" ref="A3:A257">
    <sortCondition ref="A257"/>
  </sortState>
  <phoneticPr fontId="3"/>
  <hyperlinks>
    <hyperlink ref="C77" r:id="rId1" xr:uid="{16911A56-279B-4FE3-AD62-6AF5A41886AA}"/>
    <hyperlink ref="C61" r:id="rId2" xr:uid="{3171AC1E-1988-4107-A87A-F84FF7CF86BE}"/>
  </hyperlinks>
  <pageMargins left="0.7" right="0.7" top="0.75" bottom="0.75" header="0.3" footer="0.3"/>
  <pageSetup paperSize="9" orientation="portrait"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F592-1B08-44BF-BB4D-5F0CFCC62FBF}">
  <dimension ref="A1"/>
  <sheetViews>
    <sheetView workbookViewId="0"/>
  </sheetViews>
  <sheetFormatPr defaultRowHeight="12.75"/>
  <sheetData>
    <row r="1" spans="1:1">
      <c r="A1" s="34" t="s">
        <v>851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15124-501F-4365-942B-3921A8E31BF0}">
  <sheetPr codeName="Sheet4"/>
  <dimension ref="A1:AL8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86" sqref="B86"/>
    </sheetView>
  </sheetViews>
  <sheetFormatPr defaultColWidth="8.7109375" defaultRowHeight="14.25" outlineLevelCol="1"/>
  <cols>
    <col min="1" max="1" width="16.5703125" style="1" customWidth="1"/>
    <col min="2" max="2" width="35.5703125" style="1" bestFit="1" customWidth="1"/>
    <col min="3" max="4" width="8.7109375" style="1" customWidth="1" outlineLevel="1"/>
    <col min="5" max="5" width="15.28515625" style="1" customWidth="1" outlineLevel="1"/>
    <col min="6" max="17" width="8.7109375" style="1" customWidth="1" outlineLevel="1"/>
    <col min="18" max="24" width="8.7109375" style="1"/>
    <col min="25" max="25" width="9.7109375" style="1" bestFit="1" customWidth="1"/>
    <col min="26" max="16384" width="8.7109375" style="1"/>
  </cols>
  <sheetData>
    <row r="1" spans="1:38">
      <c r="A1" s="1" t="s">
        <v>4</v>
      </c>
      <c r="B1" s="1" t="s">
        <v>160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  <c r="AB1" s="1" t="s">
        <v>46</v>
      </c>
      <c r="AC1" s="1" t="s">
        <v>47</v>
      </c>
      <c r="AD1" s="1" t="s">
        <v>48</v>
      </c>
      <c r="AE1" s="1" t="s">
        <v>49</v>
      </c>
      <c r="AF1" s="1" t="s">
        <v>50</v>
      </c>
      <c r="AG1" s="1" t="s">
        <v>51</v>
      </c>
      <c r="AH1" s="1" t="s">
        <v>52</v>
      </c>
      <c r="AI1" s="1" t="s">
        <v>53</v>
      </c>
      <c r="AJ1" s="1" t="s">
        <v>35</v>
      </c>
      <c r="AK1" s="1" t="s">
        <v>54</v>
      </c>
      <c r="AL1" s="1" t="s">
        <v>55</v>
      </c>
    </row>
    <row r="2" spans="1:38">
      <c r="A2" s="1" t="s">
        <v>183</v>
      </c>
      <c r="B2" s="1" t="s">
        <v>175</v>
      </c>
      <c r="E2" s="1" t="s">
        <v>79</v>
      </c>
      <c r="G2" s="1" t="s">
        <v>56</v>
      </c>
      <c r="I2" s="1" t="s">
        <v>57</v>
      </c>
      <c r="R2" s="1" t="s">
        <v>86</v>
      </c>
      <c r="T2" s="1">
        <v>9</v>
      </c>
      <c r="U2" s="1" t="s">
        <v>87</v>
      </c>
      <c r="W2" s="1">
        <v>761</v>
      </c>
      <c r="X2" s="1" t="s">
        <v>88</v>
      </c>
      <c r="Y2" s="1">
        <v>1767596</v>
      </c>
      <c r="AA2" s="1" t="s">
        <v>89</v>
      </c>
      <c r="AH2" s="1" t="s">
        <v>59</v>
      </c>
      <c r="AJ2" s="1" t="s">
        <v>58</v>
      </c>
      <c r="AK2" s="1" t="s">
        <v>60</v>
      </c>
    </row>
    <row r="3" spans="1:38">
      <c r="A3" s="1" t="s">
        <v>61</v>
      </c>
      <c r="B3" s="1" t="s">
        <v>90</v>
      </c>
      <c r="E3" s="1" t="s">
        <v>90</v>
      </c>
      <c r="G3" s="1" t="s">
        <v>56</v>
      </c>
      <c r="I3" s="1" t="s">
        <v>57</v>
      </c>
      <c r="R3" s="1" t="s">
        <v>92</v>
      </c>
      <c r="T3" s="1">
        <v>1</v>
      </c>
      <c r="U3" s="1" t="s">
        <v>93</v>
      </c>
      <c r="W3" s="1">
        <v>188</v>
      </c>
      <c r="X3" s="1" t="s">
        <v>88</v>
      </c>
      <c r="Y3" s="1">
        <v>1563343</v>
      </c>
      <c r="AA3" s="1" t="s">
        <v>94</v>
      </c>
      <c r="AH3" s="1" t="s">
        <v>59</v>
      </c>
      <c r="AJ3" s="1" t="s">
        <v>58</v>
      </c>
      <c r="AK3" s="1" t="s">
        <v>60</v>
      </c>
    </row>
    <row r="4" spans="1:38">
      <c r="A4" s="1" t="s">
        <v>62</v>
      </c>
      <c r="B4" s="1" t="s">
        <v>122</v>
      </c>
      <c r="E4" s="1" t="s">
        <v>122</v>
      </c>
      <c r="G4" s="1" t="s">
        <v>56</v>
      </c>
      <c r="I4" s="1" t="s">
        <v>57</v>
      </c>
      <c r="R4" s="1" t="s">
        <v>98</v>
      </c>
      <c r="T4" s="1">
        <v>129</v>
      </c>
      <c r="U4" s="1" t="s">
        <v>123</v>
      </c>
      <c r="W4" s="1">
        <v>354</v>
      </c>
      <c r="X4" s="1" t="s">
        <v>88</v>
      </c>
      <c r="Y4" s="1">
        <v>2896145</v>
      </c>
      <c r="AA4" s="1" t="s">
        <v>124</v>
      </c>
      <c r="AH4" s="1" t="s">
        <v>59</v>
      </c>
      <c r="AJ4" s="1" t="s">
        <v>58</v>
      </c>
      <c r="AK4" s="1" t="s">
        <v>60</v>
      </c>
    </row>
    <row r="5" spans="1:38">
      <c r="A5" s="1" t="s">
        <v>63</v>
      </c>
      <c r="B5" s="1" t="s">
        <v>166</v>
      </c>
      <c r="E5" s="1" t="s">
        <v>125</v>
      </c>
      <c r="G5" s="1" t="s">
        <v>56</v>
      </c>
      <c r="I5" s="1" t="s">
        <v>57</v>
      </c>
      <c r="R5" s="1" t="s">
        <v>98</v>
      </c>
      <c r="T5" s="1">
        <v>129</v>
      </c>
      <c r="U5" s="1" t="s">
        <v>126</v>
      </c>
      <c r="W5" s="1">
        <v>109</v>
      </c>
      <c r="X5" s="1" t="s">
        <v>88</v>
      </c>
      <c r="Y5" s="1">
        <v>3828917</v>
      </c>
      <c r="AA5" s="1" t="s">
        <v>127</v>
      </c>
      <c r="AH5" s="1" t="s">
        <v>59</v>
      </c>
      <c r="AJ5" s="1" t="s">
        <v>58</v>
      </c>
      <c r="AK5" s="1" t="s">
        <v>60</v>
      </c>
    </row>
    <row r="6" spans="1:38">
      <c r="A6" s="1" t="s">
        <v>64</v>
      </c>
      <c r="B6" s="1" t="s">
        <v>128</v>
      </c>
      <c r="E6" s="1" t="s">
        <v>128</v>
      </c>
      <c r="G6" s="1" t="s">
        <v>56</v>
      </c>
      <c r="I6" s="1" t="s">
        <v>57</v>
      </c>
      <c r="R6" s="1" t="s">
        <v>129</v>
      </c>
      <c r="T6" s="1">
        <v>128</v>
      </c>
      <c r="U6" s="1" t="s">
        <v>130</v>
      </c>
      <c r="W6" s="1">
        <v>161</v>
      </c>
      <c r="X6" s="1" t="s">
        <v>88</v>
      </c>
      <c r="Y6" s="1">
        <v>914640</v>
      </c>
      <c r="AA6" s="1" t="s">
        <v>131</v>
      </c>
      <c r="AH6" s="1" t="s">
        <v>59</v>
      </c>
      <c r="AJ6" s="1" t="s">
        <v>58</v>
      </c>
      <c r="AK6" s="1" t="s">
        <v>60</v>
      </c>
    </row>
    <row r="7" spans="1:38">
      <c r="A7" s="1" t="s">
        <v>65</v>
      </c>
      <c r="B7" s="1" t="s">
        <v>132</v>
      </c>
      <c r="E7" s="1" t="s">
        <v>132</v>
      </c>
      <c r="G7" s="1" t="s">
        <v>56</v>
      </c>
      <c r="I7" s="1" t="s">
        <v>57</v>
      </c>
      <c r="R7" s="1" t="s">
        <v>86</v>
      </c>
      <c r="T7" s="1">
        <v>9</v>
      </c>
      <c r="U7" s="1" t="s">
        <v>133</v>
      </c>
      <c r="W7" s="1">
        <v>695</v>
      </c>
      <c r="X7" s="1" t="s">
        <v>88</v>
      </c>
      <c r="Y7" s="1">
        <v>1026725</v>
      </c>
      <c r="AA7" s="1" t="s">
        <v>134</v>
      </c>
      <c r="AH7" s="1" t="s">
        <v>59</v>
      </c>
      <c r="AJ7" s="1" t="s">
        <v>58</v>
      </c>
      <c r="AK7" s="1" t="s">
        <v>60</v>
      </c>
    </row>
    <row r="8" spans="1:38">
      <c r="A8" s="1" t="s">
        <v>66</v>
      </c>
      <c r="B8" s="1" t="s">
        <v>184</v>
      </c>
      <c r="E8" s="1" t="s">
        <v>135</v>
      </c>
      <c r="G8" s="1" t="s">
        <v>56</v>
      </c>
      <c r="I8" s="1" t="s">
        <v>57</v>
      </c>
      <c r="R8" s="1" t="s">
        <v>117</v>
      </c>
      <c r="T8" s="1">
        <v>36</v>
      </c>
      <c r="U8" s="1" t="s">
        <v>136</v>
      </c>
      <c r="W8" s="1">
        <v>205</v>
      </c>
      <c r="X8" s="1" t="s">
        <v>88</v>
      </c>
      <c r="Y8" s="1">
        <v>7035776</v>
      </c>
      <c r="AA8" s="1" t="s">
        <v>137</v>
      </c>
      <c r="AH8" s="1" t="s">
        <v>59</v>
      </c>
      <c r="AJ8" s="1" t="s">
        <v>58</v>
      </c>
      <c r="AK8" s="1" t="s">
        <v>60</v>
      </c>
    </row>
    <row r="9" spans="1:38">
      <c r="A9" s="1" t="s">
        <v>67</v>
      </c>
      <c r="B9" s="1" t="s">
        <v>172</v>
      </c>
      <c r="E9" s="1" t="s">
        <v>138</v>
      </c>
      <c r="G9" s="1" t="s">
        <v>56</v>
      </c>
      <c r="I9" s="1" t="s">
        <v>57</v>
      </c>
      <c r="R9" s="1" t="s">
        <v>109</v>
      </c>
      <c r="T9" s="1">
        <v>5</v>
      </c>
      <c r="U9" s="1" t="s">
        <v>106</v>
      </c>
      <c r="W9" s="1">
        <v>384</v>
      </c>
      <c r="X9" s="1" t="s">
        <v>121</v>
      </c>
      <c r="Y9" s="1">
        <v>307419</v>
      </c>
      <c r="AA9" s="1" t="s">
        <v>139</v>
      </c>
      <c r="AH9" s="1" t="s">
        <v>59</v>
      </c>
      <c r="AJ9" s="1" t="s">
        <v>58</v>
      </c>
      <c r="AK9" s="1" t="s">
        <v>60</v>
      </c>
    </row>
    <row r="10" spans="1:38">
      <c r="A10" s="1" t="s">
        <v>68</v>
      </c>
      <c r="B10" s="1" t="s">
        <v>176</v>
      </c>
      <c r="E10" s="1" t="s">
        <v>79</v>
      </c>
      <c r="G10" s="1" t="s">
        <v>56</v>
      </c>
      <c r="I10" s="1" t="s">
        <v>57</v>
      </c>
      <c r="R10" s="1" t="s">
        <v>86</v>
      </c>
      <c r="T10" s="1">
        <v>9</v>
      </c>
      <c r="U10" s="1" t="s">
        <v>87</v>
      </c>
      <c r="W10" s="1">
        <v>761</v>
      </c>
      <c r="X10" s="1" t="s">
        <v>88</v>
      </c>
      <c r="Y10" s="1">
        <v>6353088</v>
      </c>
      <c r="AA10" s="1" t="s">
        <v>89</v>
      </c>
      <c r="AH10" s="1" t="s">
        <v>59</v>
      </c>
      <c r="AJ10" s="1" t="s">
        <v>58</v>
      </c>
      <c r="AK10" s="1" t="s">
        <v>60</v>
      </c>
    </row>
    <row r="11" spans="1:38">
      <c r="A11" s="1" t="s">
        <v>69</v>
      </c>
      <c r="B11" s="1" t="s">
        <v>140</v>
      </c>
      <c r="E11" s="1" t="s">
        <v>135</v>
      </c>
      <c r="G11" s="1" t="s">
        <v>56</v>
      </c>
      <c r="I11" s="1" t="s">
        <v>57</v>
      </c>
      <c r="R11" s="1" t="s">
        <v>86</v>
      </c>
      <c r="T11" s="1">
        <v>9</v>
      </c>
      <c r="U11" s="1" t="s">
        <v>141</v>
      </c>
      <c r="W11" s="1">
        <v>978</v>
      </c>
      <c r="X11" s="1" t="s">
        <v>88</v>
      </c>
      <c r="Y11" s="1">
        <v>9436105</v>
      </c>
      <c r="AA11" s="1" t="s">
        <v>137</v>
      </c>
      <c r="AH11" s="1" t="s">
        <v>59</v>
      </c>
      <c r="AJ11" s="1" t="s">
        <v>58</v>
      </c>
      <c r="AK11" s="1" t="s">
        <v>60</v>
      </c>
    </row>
    <row r="12" spans="1:38">
      <c r="A12" s="1" t="s">
        <v>70</v>
      </c>
      <c r="B12" s="1" t="s">
        <v>142</v>
      </c>
      <c r="E12" s="1" t="s">
        <v>142</v>
      </c>
      <c r="G12" s="1" t="s">
        <v>56</v>
      </c>
      <c r="I12" s="1" t="s">
        <v>57</v>
      </c>
      <c r="R12" s="1" t="s">
        <v>86</v>
      </c>
      <c r="T12" s="1">
        <v>9</v>
      </c>
      <c r="U12" s="1" t="s">
        <v>143</v>
      </c>
      <c r="W12" s="1">
        <v>971</v>
      </c>
      <c r="X12" s="1" t="s">
        <v>121</v>
      </c>
      <c r="Y12" s="1">
        <v>2511023</v>
      </c>
      <c r="AA12" s="1" t="s">
        <v>144</v>
      </c>
      <c r="AH12" s="1" t="s">
        <v>59</v>
      </c>
      <c r="AJ12" s="1" t="s">
        <v>58</v>
      </c>
      <c r="AK12" s="1" t="s">
        <v>60</v>
      </c>
    </row>
    <row r="13" spans="1:38">
      <c r="A13" s="1" t="s">
        <v>71</v>
      </c>
      <c r="B13" s="1" t="s">
        <v>145</v>
      </c>
      <c r="E13" s="1" t="s">
        <v>145</v>
      </c>
      <c r="G13" s="1" t="s">
        <v>56</v>
      </c>
      <c r="I13" s="1" t="s">
        <v>57</v>
      </c>
      <c r="R13" s="1" t="s">
        <v>92</v>
      </c>
      <c r="T13" s="1">
        <v>1</v>
      </c>
      <c r="U13" s="1" t="s">
        <v>146</v>
      </c>
      <c r="W13" s="1">
        <v>162</v>
      </c>
      <c r="X13" s="1" t="s">
        <v>88</v>
      </c>
      <c r="Y13" s="1">
        <v>1272676</v>
      </c>
      <c r="AA13" s="1" t="s">
        <v>147</v>
      </c>
      <c r="AH13" s="1" t="s">
        <v>59</v>
      </c>
      <c r="AJ13" s="1" t="s">
        <v>58</v>
      </c>
      <c r="AK13" s="1" t="s">
        <v>60</v>
      </c>
    </row>
    <row r="14" spans="1:38">
      <c r="A14" s="1" t="s">
        <v>72</v>
      </c>
      <c r="B14" s="1" t="s">
        <v>149</v>
      </c>
      <c r="E14" s="1" t="s">
        <v>149</v>
      </c>
      <c r="G14" s="1" t="s">
        <v>56</v>
      </c>
      <c r="I14" s="1" t="s">
        <v>57</v>
      </c>
      <c r="R14" s="1" t="s">
        <v>150</v>
      </c>
      <c r="T14" s="1">
        <v>169</v>
      </c>
      <c r="U14" s="1" t="s">
        <v>151</v>
      </c>
      <c r="W14" s="1">
        <v>61</v>
      </c>
      <c r="X14" s="1" t="s">
        <v>88</v>
      </c>
      <c r="Y14" s="1">
        <v>1017026</v>
      </c>
      <c r="AA14" s="1" t="s">
        <v>152</v>
      </c>
      <c r="AH14" s="1" t="s">
        <v>59</v>
      </c>
      <c r="AJ14" s="1" t="s">
        <v>58</v>
      </c>
      <c r="AK14" s="1" t="s">
        <v>60</v>
      </c>
    </row>
    <row r="15" spans="1:38">
      <c r="A15" s="1" t="s">
        <v>73</v>
      </c>
      <c r="B15" s="1" t="s">
        <v>153</v>
      </c>
      <c r="E15" s="1" t="s">
        <v>153</v>
      </c>
      <c r="G15" s="1" t="s">
        <v>56</v>
      </c>
      <c r="I15" s="1" t="s">
        <v>57</v>
      </c>
      <c r="R15" s="1" t="s">
        <v>185</v>
      </c>
      <c r="T15" s="1">
        <v>5</v>
      </c>
      <c r="U15" s="1" t="s">
        <v>186</v>
      </c>
      <c r="W15" s="1">
        <v>777</v>
      </c>
      <c r="X15" s="1" t="s">
        <v>165</v>
      </c>
      <c r="Y15" s="1">
        <v>3824902</v>
      </c>
      <c r="AA15" s="1" t="s">
        <v>154</v>
      </c>
      <c r="AH15" s="1" t="s">
        <v>59</v>
      </c>
      <c r="AJ15" s="1" t="s">
        <v>58</v>
      </c>
      <c r="AK15" s="1" t="s">
        <v>60</v>
      </c>
    </row>
    <row r="16" spans="1:38">
      <c r="A16" s="1" t="s">
        <v>74</v>
      </c>
      <c r="B16" s="1" t="s">
        <v>157</v>
      </c>
      <c r="E16" s="1" t="s">
        <v>157</v>
      </c>
      <c r="G16" s="1" t="s">
        <v>56</v>
      </c>
      <c r="I16" s="1" t="s">
        <v>57</v>
      </c>
      <c r="R16" s="1" t="s">
        <v>117</v>
      </c>
      <c r="T16" s="1">
        <v>36</v>
      </c>
      <c r="U16" s="1" t="s">
        <v>158</v>
      </c>
      <c r="W16" s="1">
        <v>253</v>
      </c>
      <c r="X16" s="1" t="s">
        <v>88</v>
      </c>
      <c r="Y16" s="1">
        <v>7421684</v>
      </c>
      <c r="AA16" s="1" t="s">
        <v>159</v>
      </c>
      <c r="AH16" s="1" t="s">
        <v>59</v>
      </c>
      <c r="AJ16" s="1" t="s">
        <v>58</v>
      </c>
      <c r="AK16" s="1" t="s">
        <v>60</v>
      </c>
    </row>
    <row r="17" spans="1:37">
      <c r="A17" s="1" t="s">
        <v>75</v>
      </c>
      <c r="B17" s="1" t="s">
        <v>168</v>
      </c>
      <c r="E17" s="1" t="s">
        <v>168</v>
      </c>
      <c r="G17" s="1" t="s">
        <v>56</v>
      </c>
      <c r="I17" s="1" t="s">
        <v>57</v>
      </c>
      <c r="R17" s="1" t="s">
        <v>169</v>
      </c>
      <c r="T17" s="1">
        <v>1</v>
      </c>
      <c r="U17" s="1" t="s">
        <v>170</v>
      </c>
      <c r="W17" s="1">
        <v>69</v>
      </c>
      <c r="X17" s="1" t="s">
        <v>165</v>
      </c>
      <c r="Y17" s="1">
        <v>2201299</v>
      </c>
      <c r="AA17" s="1" t="s">
        <v>171</v>
      </c>
      <c r="AH17" s="1" t="s">
        <v>59</v>
      </c>
      <c r="AJ17" s="1" t="s">
        <v>58</v>
      </c>
      <c r="AK17" s="1" t="s">
        <v>60</v>
      </c>
    </row>
    <row r="18" spans="1:37">
      <c r="A18" s="1" t="s">
        <v>76</v>
      </c>
      <c r="B18" s="1" t="s">
        <v>187</v>
      </c>
      <c r="E18" s="1" t="s">
        <v>187</v>
      </c>
      <c r="G18" s="1" t="s">
        <v>56</v>
      </c>
      <c r="I18" s="1" t="s">
        <v>57</v>
      </c>
      <c r="R18" s="1" t="s">
        <v>188</v>
      </c>
      <c r="T18" s="1">
        <v>1303</v>
      </c>
      <c r="U18" s="1" t="s">
        <v>189</v>
      </c>
      <c r="W18" s="1">
        <v>8</v>
      </c>
      <c r="X18" s="1" t="s">
        <v>165</v>
      </c>
      <c r="Y18" s="1">
        <v>412100</v>
      </c>
      <c r="AA18" s="1" t="s">
        <v>190</v>
      </c>
      <c r="AH18" s="1" t="s">
        <v>59</v>
      </c>
      <c r="AJ18" s="1" t="s">
        <v>58</v>
      </c>
      <c r="AK18" s="1" t="s">
        <v>60</v>
      </c>
    </row>
    <row r="19" spans="1:37">
      <c r="A19" s="1" t="s">
        <v>77</v>
      </c>
      <c r="B19" s="1" t="s">
        <v>191</v>
      </c>
      <c r="E19" s="1" t="s">
        <v>191</v>
      </c>
      <c r="G19" s="1" t="s">
        <v>56</v>
      </c>
      <c r="I19" s="1" t="s">
        <v>57</v>
      </c>
      <c r="R19" s="1" t="s">
        <v>173</v>
      </c>
      <c r="T19" s="1">
        <v>1</v>
      </c>
      <c r="U19" s="1" t="s">
        <v>192</v>
      </c>
      <c r="W19" s="1">
        <v>797</v>
      </c>
      <c r="X19" s="1" t="s">
        <v>165</v>
      </c>
      <c r="Y19" s="1">
        <v>2543877</v>
      </c>
      <c r="AA19" s="1" t="s">
        <v>193</v>
      </c>
      <c r="AH19" s="1" t="s">
        <v>59</v>
      </c>
      <c r="AJ19" s="1" t="s">
        <v>58</v>
      </c>
      <c r="AK19" s="1" t="s">
        <v>60</v>
      </c>
    </row>
    <row r="20" spans="1:37">
      <c r="A20" s="1" t="s">
        <v>78</v>
      </c>
      <c r="B20" s="1" t="s">
        <v>194</v>
      </c>
      <c r="E20" s="1" t="s">
        <v>194</v>
      </c>
      <c r="G20" s="1" t="s">
        <v>56</v>
      </c>
      <c r="I20" s="1" t="s">
        <v>57</v>
      </c>
      <c r="R20" s="1" t="s">
        <v>161</v>
      </c>
      <c r="T20" s="1">
        <v>9</v>
      </c>
      <c r="U20" s="1" t="s">
        <v>195</v>
      </c>
      <c r="W20" s="1">
        <v>978</v>
      </c>
      <c r="X20" s="1" t="s">
        <v>165</v>
      </c>
      <c r="Y20" s="1">
        <v>9510750</v>
      </c>
      <c r="AA20" s="1" t="s">
        <v>196</v>
      </c>
      <c r="AH20" s="1" t="s">
        <v>59</v>
      </c>
      <c r="AJ20" s="1" t="s">
        <v>58</v>
      </c>
      <c r="AK20" s="1" t="s">
        <v>60</v>
      </c>
    </row>
    <row r="21" spans="1:37">
      <c r="A21" s="1" t="s">
        <v>80</v>
      </c>
      <c r="B21" s="1" t="s">
        <v>197</v>
      </c>
      <c r="E21" s="1" t="s">
        <v>197</v>
      </c>
      <c r="G21" s="1" t="s">
        <v>56</v>
      </c>
      <c r="I21" s="1" t="s">
        <v>57</v>
      </c>
      <c r="R21" s="1" t="s">
        <v>161</v>
      </c>
      <c r="T21" s="1">
        <v>9</v>
      </c>
      <c r="U21" s="1" t="s">
        <v>162</v>
      </c>
      <c r="W21" s="1">
        <v>925</v>
      </c>
      <c r="X21" s="1" t="s">
        <v>165</v>
      </c>
      <c r="Y21" s="1">
        <v>3369325</v>
      </c>
      <c r="AA21" s="1" t="s">
        <v>198</v>
      </c>
      <c r="AH21" s="1" t="s">
        <v>59</v>
      </c>
      <c r="AJ21" s="1" t="s">
        <v>58</v>
      </c>
      <c r="AK21" s="1" t="s">
        <v>60</v>
      </c>
    </row>
    <row r="22" spans="1:37">
      <c r="A22" s="1" t="s">
        <v>81</v>
      </c>
      <c r="B22" s="1" t="s">
        <v>199</v>
      </c>
      <c r="E22" s="1" t="s">
        <v>199</v>
      </c>
      <c r="G22" s="1" t="s">
        <v>56</v>
      </c>
      <c r="I22" s="1" t="s">
        <v>57</v>
      </c>
      <c r="R22" s="1" t="s">
        <v>167</v>
      </c>
      <c r="T22" s="1">
        <v>10</v>
      </c>
      <c r="U22" s="1" t="s">
        <v>200</v>
      </c>
      <c r="W22" s="1">
        <v>275</v>
      </c>
      <c r="X22" s="1" t="s">
        <v>165</v>
      </c>
      <c r="Y22" s="1">
        <v>2040413</v>
      </c>
      <c r="AA22" s="1" t="s">
        <v>201</v>
      </c>
      <c r="AH22" s="1" t="s">
        <v>59</v>
      </c>
      <c r="AJ22" s="1" t="s">
        <v>58</v>
      </c>
      <c r="AK22" s="1" t="s">
        <v>60</v>
      </c>
    </row>
    <row r="23" spans="1:37">
      <c r="A23" s="1" t="s">
        <v>82</v>
      </c>
      <c r="B23" s="1" t="s">
        <v>202</v>
      </c>
      <c r="E23" s="1" t="s">
        <v>202</v>
      </c>
      <c r="G23" s="1" t="s">
        <v>56</v>
      </c>
      <c r="I23" s="1" t="s">
        <v>57</v>
      </c>
      <c r="R23" s="1" t="s">
        <v>203</v>
      </c>
      <c r="T23" s="1">
        <v>126</v>
      </c>
      <c r="U23" s="1" t="s">
        <v>204</v>
      </c>
      <c r="W23" s="1">
        <v>602</v>
      </c>
      <c r="X23" s="1" t="s">
        <v>165</v>
      </c>
      <c r="Y23" s="1">
        <v>652570</v>
      </c>
      <c r="AA23" s="1" t="s">
        <v>205</v>
      </c>
      <c r="AH23" s="1" t="s">
        <v>59</v>
      </c>
      <c r="AJ23" s="1" t="s">
        <v>58</v>
      </c>
      <c r="AK23" s="1" t="s">
        <v>60</v>
      </c>
    </row>
    <row r="24" spans="1:37">
      <c r="A24" s="1" t="s">
        <v>83</v>
      </c>
      <c r="B24" s="1" t="s">
        <v>206</v>
      </c>
      <c r="E24" s="1" t="s">
        <v>206</v>
      </c>
      <c r="G24" s="1" t="s">
        <v>56</v>
      </c>
      <c r="I24" s="1" t="s">
        <v>57</v>
      </c>
      <c r="R24" s="1" t="s">
        <v>163</v>
      </c>
      <c r="T24" s="1">
        <v>129</v>
      </c>
      <c r="U24" s="1" t="s">
        <v>207</v>
      </c>
      <c r="W24" s="1">
        <v>350</v>
      </c>
      <c r="X24" s="1" t="s">
        <v>165</v>
      </c>
      <c r="Y24" s="1">
        <v>2553367</v>
      </c>
      <c r="AA24" s="1" t="s">
        <v>208</v>
      </c>
      <c r="AH24" s="1" t="s">
        <v>59</v>
      </c>
      <c r="AJ24" s="1" t="s">
        <v>58</v>
      </c>
      <c r="AK24" s="1" t="s">
        <v>60</v>
      </c>
    </row>
    <row r="25" spans="1:37">
      <c r="A25" s="1" t="s">
        <v>84</v>
      </c>
      <c r="B25" s="1" t="s">
        <v>209</v>
      </c>
      <c r="E25" s="1" t="s">
        <v>209</v>
      </c>
      <c r="G25" s="1" t="s">
        <v>56</v>
      </c>
      <c r="I25" s="1" t="s">
        <v>57</v>
      </c>
      <c r="R25" s="1" t="s">
        <v>163</v>
      </c>
      <c r="T25" s="1">
        <v>129</v>
      </c>
      <c r="U25" s="1" t="s">
        <v>164</v>
      </c>
      <c r="W25" s="1">
        <v>190</v>
      </c>
      <c r="X25" s="1" t="s">
        <v>165</v>
      </c>
      <c r="Y25" s="1">
        <v>3358093</v>
      </c>
      <c r="AA25" s="1" t="s">
        <v>210</v>
      </c>
      <c r="AH25" s="1" t="s">
        <v>59</v>
      </c>
      <c r="AJ25" s="1" t="s">
        <v>58</v>
      </c>
      <c r="AK25" s="1" t="s">
        <v>60</v>
      </c>
    </row>
    <row r="26" spans="1:37">
      <c r="A26" s="1" t="s">
        <v>85</v>
      </c>
      <c r="B26" s="1" t="s">
        <v>211</v>
      </c>
      <c r="E26" s="1" t="s">
        <v>212</v>
      </c>
      <c r="G26" s="1" t="s">
        <v>56</v>
      </c>
      <c r="I26" s="1" t="s">
        <v>57</v>
      </c>
      <c r="R26" s="1" t="s">
        <v>161</v>
      </c>
      <c r="T26" s="1">
        <v>9</v>
      </c>
      <c r="U26" s="1" t="s">
        <v>213</v>
      </c>
      <c r="W26" s="1">
        <v>762</v>
      </c>
      <c r="X26" s="1" t="s">
        <v>165</v>
      </c>
      <c r="Y26" s="1">
        <v>8356310</v>
      </c>
      <c r="AA26" s="1" t="s">
        <v>214</v>
      </c>
      <c r="AH26" s="1" t="s">
        <v>59</v>
      </c>
      <c r="AJ26" s="1" t="s">
        <v>58</v>
      </c>
      <c r="AK26" s="1" t="s">
        <v>60</v>
      </c>
    </row>
    <row r="27" spans="1:37">
      <c r="A27" s="1" t="s">
        <v>91</v>
      </c>
      <c r="B27" s="1" t="s">
        <v>215</v>
      </c>
      <c r="E27" s="1" t="s">
        <v>215</v>
      </c>
      <c r="G27" s="1" t="s">
        <v>56</v>
      </c>
      <c r="I27" s="1" t="s">
        <v>57</v>
      </c>
      <c r="R27" s="1" t="s">
        <v>216</v>
      </c>
      <c r="T27" s="1">
        <v>569</v>
      </c>
      <c r="U27" s="1" t="s">
        <v>217</v>
      </c>
      <c r="W27" s="1">
        <v>4</v>
      </c>
      <c r="X27" s="1" t="s">
        <v>165</v>
      </c>
      <c r="Y27" s="1">
        <v>3019690</v>
      </c>
      <c r="AA27" s="1" t="s">
        <v>218</v>
      </c>
      <c r="AH27" s="1" t="s">
        <v>59</v>
      </c>
      <c r="AJ27" s="1" t="s">
        <v>58</v>
      </c>
      <c r="AK27" s="1" t="s">
        <v>60</v>
      </c>
    </row>
    <row r="28" spans="1:37">
      <c r="A28" s="1" t="s">
        <v>95</v>
      </c>
      <c r="B28" s="1" t="s">
        <v>446</v>
      </c>
      <c r="E28" s="1" t="s">
        <v>446</v>
      </c>
      <c r="G28" s="1" t="s">
        <v>56</v>
      </c>
      <c r="I28" s="1" t="s">
        <v>57</v>
      </c>
      <c r="R28" s="1" t="s">
        <v>161</v>
      </c>
      <c r="T28" s="1">
        <v>9</v>
      </c>
      <c r="U28" s="1" t="s">
        <v>405</v>
      </c>
      <c r="W28" s="1">
        <v>976</v>
      </c>
      <c r="X28" s="1" t="s">
        <v>165</v>
      </c>
      <c r="Y28" s="1">
        <v>988330</v>
      </c>
      <c r="AA28" s="1" t="s">
        <v>406</v>
      </c>
      <c r="AH28" s="1" t="s">
        <v>59</v>
      </c>
      <c r="AJ28" s="1" t="s">
        <v>58</v>
      </c>
      <c r="AK28" s="1" t="s">
        <v>60</v>
      </c>
    </row>
    <row r="29" spans="1:37">
      <c r="A29" s="1" t="s">
        <v>96</v>
      </c>
      <c r="B29" s="1" t="s">
        <v>220</v>
      </c>
      <c r="E29" s="1" t="s">
        <v>220</v>
      </c>
      <c r="G29" s="1" t="s">
        <v>56</v>
      </c>
      <c r="I29" s="1" t="s">
        <v>57</v>
      </c>
      <c r="R29" s="1" t="s">
        <v>98</v>
      </c>
      <c r="T29" s="1">
        <v>129</v>
      </c>
      <c r="U29" s="1" t="s">
        <v>221</v>
      </c>
      <c r="W29" s="1">
        <v>140</v>
      </c>
      <c r="X29" s="1" t="s">
        <v>88</v>
      </c>
      <c r="Y29" s="1">
        <v>3336435</v>
      </c>
      <c r="AA29" s="1" t="s">
        <v>222</v>
      </c>
      <c r="AH29" s="1" t="s">
        <v>59</v>
      </c>
      <c r="AJ29" s="1" t="s">
        <v>58</v>
      </c>
      <c r="AK29" s="1" t="s">
        <v>60</v>
      </c>
    </row>
    <row r="30" spans="1:37">
      <c r="A30" s="1" t="s">
        <v>97</v>
      </c>
      <c r="B30" s="1" t="s">
        <v>223</v>
      </c>
      <c r="E30" s="1" t="s">
        <v>223</v>
      </c>
      <c r="G30" s="1" t="s">
        <v>56</v>
      </c>
      <c r="I30" s="1" t="s">
        <v>57</v>
      </c>
      <c r="R30" s="1" t="s">
        <v>98</v>
      </c>
      <c r="T30" s="1">
        <v>129</v>
      </c>
      <c r="U30" s="1" t="s">
        <v>224</v>
      </c>
      <c r="W30" s="1">
        <v>146</v>
      </c>
      <c r="X30" s="1" t="s">
        <v>88</v>
      </c>
      <c r="Y30" s="1">
        <v>2756562</v>
      </c>
      <c r="AA30" s="1" t="s">
        <v>225</v>
      </c>
      <c r="AH30" s="1" t="s">
        <v>59</v>
      </c>
      <c r="AJ30" s="1" t="s">
        <v>58</v>
      </c>
      <c r="AK30" s="1" t="s">
        <v>60</v>
      </c>
    </row>
    <row r="31" spans="1:37">
      <c r="A31" s="1" t="s">
        <v>99</v>
      </c>
      <c r="B31" s="1" t="s">
        <v>226</v>
      </c>
      <c r="E31" s="1" t="s">
        <v>226</v>
      </c>
      <c r="G31" s="1" t="s">
        <v>56</v>
      </c>
      <c r="I31" s="1" t="s">
        <v>57</v>
      </c>
      <c r="R31" s="1" t="s">
        <v>98</v>
      </c>
      <c r="T31" s="1">
        <v>129</v>
      </c>
      <c r="U31" s="1" t="s">
        <v>227</v>
      </c>
      <c r="W31" s="1">
        <v>354</v>
      </c>
      <c r="X31" s="1" t="s">
        <v>88</v>
      </c>
      <c r="Y31" s="1">
        <v>2985305</v>
      </c>
      <c r="AA31" s="1" t="s">
        <v>228</v>
      </c>
      <c r="AH31" s="1" t="s">
        <v>59</v>
      </c>
      <c r="AJ31" s="1" t="s">
        <v>58</v>
      </c>
      <c r="AK31" s="1" t="s">
        <v>60</v>
      </c>
    </row>
    <row r="32" spans="1:37">
      <c r="A32" s="1" t="s">
        <v>101</v>
      </c>
      <c r="B32" s="1" t="s">
        <v>178</v>
      </c>
      <c r="E32" s="1" t="s">
        <v>178</v>
      </c>
      <c r="G32" s="1" t="s">
        <v>56</v>
      </c>
      <c r="I32" s="1" t="s">
        <v>57</v>
      </c>
      <c r="R32" s="1" t="s">
        <v>229</v>
      </c>
      <c r="T32" s="1">
        <v>17</v>
      </c>
      <c r="U32" s="1" t="s">
        <v>230</v>
      </c>
      <c r="W32" s="1">
        <v>353</v>
      </c>
      <c r="X32" s="1" t="s">
        <v>88</v>
      </c>
      <c r="Y32" s="1">
        <v>1371407</v>
      </c>
      <c r="AA32" s="1" t="s">
        <v>253</v>
      </c>
      <c r="AH32" s="1" t="s">
        <v>59</v>
      </c>
      <c r="AJ32" s="1" t="s">
        <v>58</v>
      </c>
      <c r="AK32" s="1" t="s">
        <v>60</v>
      </c>
    </row>
    <row r="33" spans="1:37">
      <c r="A33" s="1" t="s">
        <v>105</v>
      </c>
      <c r="B33" s="1" t="s">
        <v>252</v>
      </c>
      <c r="E33" s="1" t="s">
        <v>231</v>
      </c>
      <c r="G33" s="1" t="s">
        <v>56</v>
      </c>
      <c r="I33" s="1" t="s">
        <v>57</v>
      </c>
      <c r="R33" s="1" t="s">
        <v>232</v>
      </c>
      <c r="T33" s="1">
        <v>129</v>
      </c>
      <c r="U33" s="1" t="s">
        <v>233</v>
      </c>
      <c r="W33" s="1">
        <v>351</v>
      </c>
      <c r="X33" s="1" t="s">
        <v>88</v>
      </c>
      <c r="Y33" s="1">
        <v>5059830</v>
      </c>
      <c r="AA33" s="1" t="s">
        <v>234</v>
      </c>
      <c r="AH33" s="1" t="s">
        <v>59</v>
      </c>
      <c r="AJ33" s="1" t="s">
        <v>58</v>
      </c>
      <c r="AK33" s="1" t="s">
        <v>60</v>
      </c>
    </row>
    <row r="34" spans="1:37">
      <c r="A34" s="1" t="s">
        <v>108</v>
      </c>
      <c r="B34" s="1" t="s">
        <v>177</v>
      </c>
      <c r="E34" s="1" t="s">
        <v>177</v>
      </c>
      <c r="G34" s="1" t="s">
        <v>56</v>
      </c>
      <c r="I34" s="1" t="s">
        <v>57</v>
      </c>
      <c r="R34" s="1" t="s">
        <v>185</v>
      </c>
      <c r="T34" s="1">
        <v>5</v>
      </c>
      <c r="U34" s="1" t="s">
        <v>235</v>
      </c>
      <c r="W34" s="1">
        <v>456</v>
      </c>
      <c r="X34" s="1" t="s">
        <v>165</v>
      </c>
      <c r="Y34" s="1">
        <v>3732491</v>
      </c>
      <c r="AA34" s="1" t="s">
        <v>236</v>
      </c>
      <c r="AH34" s="1" t="s">
        <v>59</v>
      </c>
      <c r="AJ34" s="1" t="s">
        <v>58</v>
      </c>
      <c r="AK34" s="1" t="s">
        <v>60</v>
      </c>
    </row>
    <row r="35" spans="1:37">
      <c r="A35" s="1" t="s">
        <v>112</v>
      </c>
      <c r="B35" s="1" t="s">
        <v>179</v>
      </c>
      <c r="E35" s="1" t="s">
        <v>179</v>
      </c>
      <c r="G35" s="1" t="s">
        <v>56</v>
      </c>
      <c r="I35" s="1" t="s">
        <v>57</v>
      </c>
      <c r="R35" s="1" t="s">
        <v>232</v>
      </c>
      <c r="T35" s="1">
        <v>129</v>
      </c>
      <c r="U35" s="1" t="s">
        <v>237</v>
      </c>
      <c r="W35" s="1">
        <v>600</v>
      </c>
      <c r="X35" s="1" t="s">
        <v>165</v>
      </c>
      <c r="Y35" s="1">
        <v>2821014</v>
      </c>
      <c r="AA35" s="1" t="s">
        <v>238</v>
      </c>
      <c r="AH35" s="1" t="s">
        <v>59</v>
      </c>
      <c r="AJ35" s="1" t="s">
        <v>58</v>
      </c>
      <c r="AK35" s="1" t="s">
        <v>60</v>
      </c>
    </row>
    <row r="36" spans="1:37">
      <c r="A36" s="1" t="s">
        <v>113</v>
      </c>
      <c r="B36" s="1" t="s">
        <v>180</v>
      </c>
      <c r="E36" s="1" t="s">
        <v>180</v>
      </c>
      <c r="G36" s="1" t="s">
        <v>56</v>
      </c>
      <c r="I36" s="1" t="s">
        <v>57</v>
      </c>
      <c r="R36" s="1" t="s">
        <v>239</v>
      </c>
      <c r="T36" s="1">
        <v>17</v>
      </c>
      <c r="U36" s="1" t="s">
        <v>240</v>
      </c>
      <c r="W36" s="1">
        <v>509</v>
      </c>
      <c r="X36" s="1" t="s">
        <v>241</v>
      </c>
      <c r="Y36" s="1">
        <v>385282</v>
      </c>
      <c r="AA36" s="1" t="s">
        <v>242</v>
      </c>
      <c r="AH36" s="1" t="s">
        <v>59</v>
      </c>
      <c r="AJ36" s="1" t="s">
        <v>58</v>
      </c>
      <c r="AK36" s="1" t="s">
        <v>60</v>
      </c>
    </row>
    <row r="37" spans="1:37">
      <c r="A37" s="1" t="s">
        <v>114</v>
      </c>
      <c r="B37" s="1" t="s">
        <v>243</v>
      </c>
      <c r="E37" s="1" t="s">
        <v>243</v>
      </c>
      <c r="G37" s="1" t="s">
        <v>56</v>
      </c>
      <c r="I37" s="1" t="s">
        <v>57</v>
      </c>
      <c r="R37" s="1" t="s">
        <v>239</v>
      </c>
      <c r="T37" s="1">
        <v>17</v>
      </c>
      <c r="U37" s="1" t="s">
        <v>244</v>
      </c>
      <c r="W37" s="1">
        <v>369</v>
      </c>
      <c r="X37" s="1" t="s">
        <v>241</v>
      </c>
      <c r="Y37" s="1">
        <v>4409339</v>
      </c>
      <c r="AA37" s="1" t="s">
        <v>245</v>
      </c>
      <c r="AH37" s="1" t="s">
        <v>59</v>
      </c>
      <c r="AJ37" s="1" t="s">
        <v>58</v>
      </c>
      <c r="AK37" s="1" t="s">
        <v>60</v>
      </c>
    </row>
    <row r="38" spans="1:37">
      <c r="A38" s="1" t="s">
        <v>115</v>
      </c>
      <c r="B38" s="1" t="s">
        <v>181</v>
      </c>
      <c r="E38" s="1" t="s">
        <v>181</v>
      </c>
      <c r="G38" s="1" t="s">
        <v>56</v>
      </c>
      <c r="I38" s="1" t="s">
        <v>57</v>
      </c>
      <c r="R38" s="1" t="s">
        <v>246</v>
      </c>
      <c r="T38" s="1">
        <v>517</v>
      </c>
      <c r="U38" s="1" t="s">
        <v>247</v>
      </c>
      <c r="W38" s="1">
        <v>7</v>
      </c>
      <c r="X38" s="1" t="s">
        <v>241</v>
      </c>
      <c r="Y38" s="1">
        <v>1060149</v>
      </c>
      <c r="AA38" s="1" t="s">
        <v>248</v>
      </c>
      <c r="AH38" s="1" t="s">
        <v>59</v>
      </c>
      <c r="AJ38" s="1" t="s">
        <v>58</v>
      </c>
      <c r="AK38" s="1" t="s">
        <v>60</v>
      </c>
    </row>
    <row r="39" spans="1:37">
      <c r="A39" s="1" t="s">
        <v>116</v>
      </c>
      <c r="B39" s="1" t="s">
        <v>182</v>
      </c>
      <c r="E39" s="1" t="s">
        <v>182</v>
      </c>
      <c r="G39" s="1" t="s">
        <v>56</v>
      </c>
      <c r="I39" s="1" t="s">
        <v>57</v>
      </c>
      <c r="R39" s="1" t="s">
        <v>249</v>
      </c>
      <c r="T39" s="1">
        <v>126</v>
      </c>
      <c r="U39" s="1" t="s">
        <v>250</v>
      </c>
      <c r="W39" s="1">
        <v>605</v>
      </c>
      <c r="X39" s="1" t="s">
        <v>241</v>
      </c>
      <c r="Y39" s="1">
        <v>1189802</v>
      </c>
      <c r="AA39" s="1" t="s">
        <v>251</v>
      </c>
      <c r="AH39" s="1" t="s">
        <v>59</v>
      </c>
      <c r="AJ39" s="1" t="s">
        <v>58</v>
      </c>
      <c r="AK39" s="1" t="s">
        <v>60</v>
      </c>
    </row>
    <row r="40" spans="1:37">
      <c r="A40" s="1" t="s">
        <v>118</v>
      </c>
      <c r="B40" s="1" t="s">
        <v>100</v>
      </c>
      <c r="E40" s="1" t="s">
        <v>100</v>
      </c>
      <c r="G40" s="1" t="s">
        <v>56</v>
      </c>
      <c r="I40" s="1" t="s">
        <v>57</v>
      </c>
      <c r="R40" s="1" t="s">
        <v>102</v>
      </c>
      <c r="T40" s="1">
        <v>1344</v>
      </c>
      <c r="U40" s="1" t="s">
        <v>103</v>
      </c>
      <c r="W40" s="1">
        <v>26</v>
      </c>
      <c r="X40" s="1" t="s">
        <v>88</v>
      </c>
      <c r="Y40" s="1">
        <v>439335</v>
      </c>
      <c r="AA40" s="1" t="s">
        <v>104</v>
      </c>
      <c r="AH40" s="1" t="s">
        <v>59</v>
      </c>
      <c r="AJ40" s="1" t="s">
        <v>58</v>
      </c>
      <c r="AK40" s="1" t="s">
        <v>60</v>
      </c>
    </row>
    <row r="41" spans="1:37">
      <c r="A41" s="1" t="s">
        <v>119</v>
      </c>
      <c r="B41" s="1" t="s">
        <v>107</v>
      </c>
      <c r="E41" s="1" t="s">
        <v>107</v>
      </c>
      <c r="G41" s="1" t="s">
        <v>56</v>
      </c>
      <c r="I41" s="1" t="s">
        <v>57</v>
      </c>
      <c r="R41" s="1" t="s">
        <v>109</v>
      </c>
      <c r="T41" s="1">
        <v>5</v>
      </c>
      <c r="U41" s="1" t="s">
        <v>110</v>
      </c>
      <c r="W41" s="1">
        <v>337</v>
      </c>
      <c r="X41" s="1" t="s">
        <v>88</v>
      </c>
      <c r="Y41" s="1">
        <v>145240</v>
      </c>
      <c r="AA41" s="1" t="s">
        <v>111</v>
      </c>
      <c r="AH41" s="1" t="s">
        <v>59</v>
      </c>
      <c r="AJ41" s="1" t="s">
        <v>58</v>
      </c>
      <c r="AK41" s="1" t="s">
        <v>60</v>
      </c>
    </row>
    <row r="42" spans="1:37">
      <c r="A42" s="1" t="s">
        <v>120</v>
      </c>
      <c r="B42" s="1" t="s">
        <v>436</v>
      </c>
      <c r="E42" s="1" t="s">
        <v>436</v>
      </c>
      <c r="G42" s="1" t="s">
        <v>56</v>
      </c>
      <c r="I42" s="1" t="s">
        <v>57</v>
      </c>
      <c r="R42" s="1" t="s">
        <v>148</v>
      </c>
      <c r="T42" s="1">
        <v>33</v>
      </c>
      <c r="U42" s="1" t="s">
        <v>155</v>
      </c>
      <c r="W42" s="1">
        <v>2</v>
      </c>
      <c r="X42" s="1" t="s">
        <v>88</v>
      </c>
      <c r="Y42" s="1">
        <v>1914575</v>
      </c>
      <c r="AA42" s="1" t="s">
        <v>156</v>
      </c>
      <c r="AH42" s="1" t="s">
        <v>59</v>
      </c>
      <c r="AJ42" s="1" t="s">
        <v>58</v>
      </c>
      <c r="AK42" s="1" t="s">
        <v>60</v>
      </c>
    </row>
    <row r="43" spans="1:37">
      <c r="A43" s="1" t="s">
        <v>258</v>
      </c>
      <c r="B43" s="1" t="s">
        <v>257</v>
      </c>
      <c r="E43" s="1" t="s">
        <v>257</v>
      </c>
      <c r="G43" s="1" t="s">
        <v>56</v>
      </c>
      <c r="I43" s="1" t="s">
        <v>57</v>
      </c>
      <c r="R43" s="1" t="s">
        <v>266</v>
      </c>
      <c r="T43" s="1">
        <v>9900</v>
      </c>
      <c r="U43" s="1" t="s">
        <v>267</v>
      </c>
      <c r="W43" s="1">
        <v>78</v>
      </c>
      <c r="X43" s="1" t="s">
        <v>88</v>
      </c>
      <c r="Y43" s="1">
        <v>1853684</v>
      </c>
      <c r="AA43" s="1" t="s">
        <v>268</v>
      </c>
      <c r="AH43" s="1" t="s">
        <v>59</v>
      </c>
      <c r="AJ43" s="1" t="s">
        <v>58</v>
      </c>
      <c r="AK43" s="1" t="s">
        <v>60</v>
      </c>
    </row>
    <row r="44" spans="1:37">
      <c r="A44" s="1" t="s">
        <v>259</v>
      </c>
      <c r="B44" s="1" t="s">
        <v>255</v>
      </c>
      <c r="E44" s="1" t="s">
        <v>255</v>
      </c>
      <c r="G44" s="1" t="s">
        <v>56</v>
      </c>
      <c r="I44" s="1" t="s">
        <v>57</v>
      </c>
      <c r="R44" s="1" t="s">
        <v>265</v>
      </c>
      <c r="T44" s="1">
        <v>130</v>
      </c>
      <c r="U44" s="1" t="s">
        <v>264</v>
      </c>
      <c r="W44" s="1">
        <v>24</v>
      </c>
      <c r="X44" s="1" t="s">
        <v>88</v>
      </c>
      <c r="Y44" s="1">
        <v>6359440</v>
      </c>
      <c r="AA44" s="1" t="s">
        <v>263</v>
      </c>
      <c r="AH44" s="1" t="s">
        <v>59</v>
      </c>
      <c r="AJ44" s="1" t="s">
        <v>58</v>
      </c>
      <c r="AK44" s="1" t="s">
        <v>60</v>
      </c>
    </row>
    <row r="45" spans="1:37">
      <c r="A45" s="1" t="s">
        <v>260</v>
      </c>
      <c r="B45" s="1" t="s">
        <v>256</v>
      </c>
      <c r="E45" s="1" t="s">
        <v>256</v>
      </c>
      <c r="G45" s="1" t="s">
        <v>56</v>
      </c>
      <c r="I45" s="1" t="s">
        <v>57</v>
      </c>
      <c r="R45" s="1" t="s">
        <v>129</v>
      </c>
      <c r="T45" s="1">
        <v>128</v>
      </c>
      <c r="U45" s="1" t="s">
        <v>262</v>
      </c>
      <c r="W45" s="1">
        <v>156</v>
      </c>
      <c r="X45" s="1" t="s">
        <v>88</v>
      </c>
      <c r="Y45" s="1">
        <v>387785</v>
      </c>
      <c r="AA45" s="1" t="s">
        <v>261</v>
      </c>
      <c r="AH45" s="1" t="s">
        <v>59</v>
      </c>
      <c r="AJ45" s="1" t="s">
        <v>58</v>
      </c>
      <c r="AK45" s="1" t="s">
        <v>60</v>
      </c>
    </row>
    <row r="46" spans="1:37">
      <c r="A46" s="1" t="s">
        <v>269</v>
      </c>
      <c r="B46" s="1" t="s">
        <v>270</v>
      </c>
      <c r="E46" s="1" t="s">
        <v>219</v>
      </c>
      <c r="G46" s="1" t="s">
        <v>56</v>
      </c>
      <c r="I46" s="1" t="s">
        <v>57</v>
      </c>
      <c r="R46" s="1" t="s">
        <v>86</v>
      </c>
      <c r="T46" s="1">
        <v>9</v>
      </c>
      <c r="U46" s="1" t="s">
        <v>304</v>
      </c>
      <c r="W46" s="1">
        <v>926</v>
      </c>
      <c r="X46" s="1" t="s">
        <v>165</v>
      </c>
      <c r="Y46" s="1">
        <v>8404153</v>
      </c>
      <c r="AA46" s="1" t="s">
        <v>305</v>
      </c>
      <c r="AH46" s="1" t="s">
        <v>59</v>
      </c>
      <c r="AJ46" s="1" t="s">
        <v>58</v>
      </c>
      <c r="AK46" s="1" t="s">
        <v>60</v>
      </c>
    </row>
    <row r="47" spans="1:37">
      <c r="A47" s="1" t="s">
        <v>302</v>
      </c>
      <c r="B47" s="1" t="s">
        <v>303</v>
      </c>
      <c r="E47" s="1" t="s">
        <v>303</v>
      </c>
      <c r="G47" s="1" t="s">
        <v>56</v>
      </c>
      <c r="I47" s="1" t="s">
        <v>57</v>
      </c>
      <c r="R47" s="1" t="s">
        <v>306</v>
      </c>
      <c r="T47" s="1">
        <v>517</v>
      </c>
      <c r="U47" s="1" t="s">
        <v>307</v>
      </c>
      <c r="W47" s="1">
        <v>36</v>
      </c>
      <c r="X47" s="1" t="s">
        <v>88</v>
      </c>
      <c r="Y47" s="1">
        <v>6753691</v>
      </c>
      <c r="AA47" s="1" t="s">
        <v>308</v>
      </c>
      <c r="AH47" s="1" t="s">
        <v>59</v>
      </c>
      <c r="AJ47" s="1" t="s">
        <v>58</v>
      </c>
      <c r="AK47" s="1" t="s">
        <v>60</v>
      </c>
    </row>
    <row r="48" spans="1:37">
      <c r="A48" s="1" t="s">
        <v>318</v>
      </c>
      <c r="B48" s="1" t="s">
        <v>317</v>
      </c>
      <c r="E48" s="1" t="s">
        <v>317</v>
      </c>
      <c r="G48" s="1" t="s">
        <v>56</v>
      </c>
      <c r="I48" s="1" t="s">
        <v>57</v>
      </c>
      <c r="R48" s="1" t="s">
        <v>319</v>
      </c>
      <c r="T48" s="1">
        <v>147</v>
      </c>
      <c r="U48" s="1" t="s">
        <v>320</v>
      </c>
      <c r="W48" s="1">
        <v>101</v>
      </c>
      <c r="X48" s="1" t="s">
        <v>88</v>
      </c>
      <c r="Y48" s="1">
        <v>1297007</v>
      </c>
      <c r="AA48" s="1" t="s">
        <v>321</v>
      </c>
      <c r="AH48" s="1" t="s">
        <v>59</v>
      </c>
      <c r="AJ48" s="1" t="s">
        <v>58</v>
      </c>
      <c r="AK48" s="1" t="s">
        <v>60</v>
      </c>
    </row>
    <row r="49" spans="1:37">
      <c r="A49" s="1" t="s">
        <v>271</v>
      </c>
      <c r="B49" s="1" t="s">
        <v>272</v>
      </c>
      <c r="E49" s="1" t="s">
        <v>272</v>
      </c>
      <c r="G49" s="1" t="s">
        <v>273</v>
      </c>
      <c r="I49" s="1" t="s">
        <v>274</v>
      </c>
      <c r="R49" s="1" t="s">
        <v>275</v>
      </c>
      <c r="T49" s="1">
        <v>9</v>
      </c>
      <c r="U49" s="1" t="s">
        <v>276</v>
      </c>
      <c r="W49" s="1">
        <v>969</v>
      </c>
      <c r="X49" s="1" t="s">
        <v>165</v>
      </c>
      <c r="Y49" s="1">
        <v>708287</v>
      </c>
      <c r="AA49" s="1" t="s">
        <v>277</v>
      </c>
      <c r="AH49" s="1" t="s">
        <v>278</v>
      </c>
      <c r="AJ49" s="1" t="s">
        <v>279</v>
      </c>
      <c r="AK49" s="1" t="s">
        <v>280</v>
      </c>
    </row>
    <row r="50" spans="1:37">
      <c r="A50" s="1" t="s">
        <v>281</v>
      </c>
      <c r="B50" s="1" t="s">
        <v>282</v>
      </c>
      <c r="E50" s="1" t="s">
        <v>282</v>
      </c>
      <c r="G50" s="1" t="s">
        <v>273</v>
      </c>
      <c r="I50" s="1" t="s">
        <v>274</v>
      </c>
      <c r="R50" s="1" t="s">
        <v>92</v>
      </c>
      <c r="T50" s="1">
        <v>1</v>
      </c>
      <c r="U50" s="1" t="s">
        <v>283</v>
      </c>
      <c r="W50" s="1">
        <v>694</v>
      </c>
      <c r="X50" s="1" t="s">
        <v>88</v>
      </c>
      <c r="Y50" s="1">
        <v>4380505</v>
      </c>
      <c r="AA50" s="1" t="s">
        <v>284</v>
      </c>
      <c r="AH50" s="1" t="s">
        <v>278</v>
      </c>
      <c r="AJ50" s="1" t="s">
        <v>279</v>
      </c>
      <c r="AK50" s="1" t="s">
        <v>280</v>
      </c>
    </row>
    <row r="51" spans="1:37">
      <c r="A51" s="1" t="s">
        <v>285</v>
      </c>
      <c r="B51" s="1" t="s">
        <v>286</v>
      </c>
      <c r="E51" s="1" t="s">
        <v>286</v>
      </c>
      <c r="G51" s="1" t="s">
        <v>273</v>
      </c>
      <c r="I51" s="1" t="s">
        <v>274</v>
      </c>
      <c r="R51" s="1" t="s">
        <v>265</v>
      </c>
      <c r="T51" s="1">
        <v>130</v>
      </c>
      <c r="U51" s="1" t="s">
        <v>287</v>
      </c>
      <c r="W51" s="1">
        <v>133</v>
      </c>
      <c r="X51" s="1" t="s">
        <v>88</v>
      </c>
      <c r="Y51" s="1">
        <v>6026683</v>
      </c>
      <c r="AA51" s="1" t="s">
        <v>288</v>
      </c>
      <c r="AH51" s="1" t="s">
        <v>278</v>
      </c>
      <c r="AJ51" s="1" t="s">
        <v>279</v>
      </c>
      <c r="AK51" s="1" t="s">
        <v>280</v>
      </c>
    </row>
    <row r="52" spans="1:37">
      <c r="A52" s="1" t="s">
        <v>289</v>
      </c>
      <c r="B52" s="1" t="s">
        <v>290</v>
      </c>
      <c r="E52" s="1" t="s">
        <v>290</v>
      </c>
      <c r="G52" s="1" t="s">
        <v>273</v>
      </c>
      <c r="I52" s="1" t="s">
        <v>274</v>
      </c>
      <c r="R52" s="1" t="s">
        <v>232</v>
      </c>
      <c r="T52" s="1">
        <v>129</v>
      </c>
      <c r="U52" s="1" t="s">
        <v>291</v>
      </c>
      <c r="W52" s="1">
        <v>100</v>
      </c>
      <c r="X52" s="1" t="s">
        <v>88</v>
      </c>
      <c r="Y52" s="1">
        <v>1920892</v>
      </c>
      <c r="AA52" s="1" t="s">
        <v>292</v>
      </c>
      <c r="AH52" s="1" t="s">
        <v>278</v>
      </c>
      <c r="AJ52" s="1" t="s">
        <v>279</v>
      </c>
      <c r="AK52" s="1" t="s">
        <v>280</v>
      </c>
    </row>
    <row r="53" spans="1:37">
      <c r="A53" s="1" t="s">
        <v>293</v>
      </c>
      <c r="B53" s="1" t="s">
        <v>294</v>
      </c>
      <c r="E53" s="1" t="s">
        <v>294</v>
      </c>
      <c r="G53" s="1" t="s">
        <v>273</v>
      </c>
      <c r="I53" s="1" t="s">
        <v>274</v>
      </c>
      <c r="R53" s="1" t="s">
        <v>161</v>
      </c>
      <c r="T53" s="1">
        <v>9</v>
      </c>
      <c r="U53" s="1" t="s">
        <v>213</v>
      </c>
      <c r="W53" s="1">
        <v>762</v>
      </c>
      <c r="X53" s="1" t="s">
        <v>165</v>
      </c>
      <c r="Y53" s="1">
        <v>8353232</v>
      </c>
      <c r="AA53" s="1" t="s">
        <v>214</v>
      </c>
      <c r="AH53" s="1" t="s">
        <v>278</v>
      </c>
      <c r="AJ53" s="1" t="s">
        <v>279</v>
      </c>
      <c r="AK53" s="1" t="s">
        <v>280</v>
      </c>
    </row>
    <row r="54" spans="1:37">
      <c r="A54" s="1" t="s">
        <v>295</v>
      </c>
      <c r="B54" s="1" t="s">
        <v>296</v>
      </c>
      <c r="E54" s="1" t="s">
        <v>296</v>
      </c>
      <c r="G54" s="1" t="s">
        <v>273</v>
      </c>
      <c r="I54" s="1" t="s">
        <v>274</v>
      </c>
      <c r="R54" s="1" t="s">
        <v>185</v>
      </c>
      <c r="T54" s="1">
        <v>5</v>
      </c>
      <c r="U54" s="1" t="s">
        <v>297</v>
      </c>
      <c r="W54" s="1">
        <v>849</v>
      </c>
      <c r="X54" s="1" t="s">
        <v>165</v>
      </c>
      <c r="Y54" s="1">
        <v>1400007</v>
      </c>
      <c r="AA54" s="1" t="s">
        <v>298</v>
      </c>
      <c r="AH54" s="1" t="s">
        <v>278</v>
      </c>
      <c r="AJ54" s="1" t="s">
        <v>279</v>
      </c>
      <c r="AK54" s="1" t="s">
        <v>280</v>
      </c>
    </row>
    <row r="55" spans="1:37">
      <c r="A55" s="1" t="s">
        <v>299</v>
      </c>
      <c r="B55" s="1" t="s">
        <v>300</v>
      </c>
      <c r="E55" s="1" t="s">
        <v>300</v>
      </c>
      <c r="G55" s="1" t="s">
        <v>273</v>
      </c>
      <c r="I55" s="1" t="s">
        <v>274</v>
      </c>
      <c r="R55" s="1" t="s">
        <v>275</v>
      </c>
      <c r="T55" s="1">
        <v>9</v>
      </c>
      <c r="U55" s="1" t="s">
        <v>276</v>
      </c>
      <c r="W55" s="1">
        <v>969</v>
      </c>
      <c r="X55" s="1" t="s">
        <v>165</v>
      </c>
      <c r="Y55" s="1">
        <v>8140267</v>
      </c>
      <c r="AA55" s="1" t="s">
        <v>301</v>
      </c>
      <c r="AH55" s="1" t="s">
        <v>278</v>
      </c>
      <c r="AJ55" s="1" t="s">
        <v>279</v>
      </c>
      <c r="AK55" s="1" t="s">
        <v>280</v>
      </c>
    </row>
    <row r="56" spans="1:37">
      <c r="A56" s="1" t="s">
        <v>322</v>
      </c>
      <c r="B56" s="1" t="s">
        <v>323</v>
      </c>
      <c r="E56" s="1" t="s">
        <v>323</v>
      </c>
      <c r="G56" s="1" t="s">
        <v>273</v>
      </c>
      <c r="I56" s="1" t="s">
        <v>274</v>
      </c>
      <c r="R56" s="1" t="s">
        <v>163</v>
      </c>
      <c r="T56" s="1">
        <v>129</v>
      </c>
      <c r="U56" s="1" t="s">
        <v>324</v>
      </c>
      <c r="W56" s="1">
        <v>107</v>
      </c>
      <c r="X56" s="1" t="s">
        <v>325</v>
      </c>
      <c r="Y56" s="1">
        <v>3202886</v>
      </c>
      <c r="AA56" s="1" t="s">
        <v>326</v>
      </c>
      <c r="AH56" s="1" t="s">
        <v>278</v>
      </c>
      <c r="AJ56" s="1" t="s">
        <v>279</v>
      </c>
      <c r="AK56" s="1" t="s">
        <v>280</v>
      </c>
    </row>
    <row r="57" spans="1:37">
      <c r="A57" s="1" t="s">
        <v>327</v>
      </c>
      <c r="B57" s="1" t="s">
        <v>328</v>
      </c>
      <c r="E57" s="1" t="s">
        <v>328</v>
      </c>
      <c r="G57" s="1" t="s">
        <v>273</v>
      </c>
      <c r="I57" s="1" t="s">
        <v>274</v>
      </c>
      <c r="R57" s="1" t="s">
        <v>329</v>
      </c>
      <c r="T57" s="1">
        <v>130</v>
      </c>
      <c r="U57" s="1" t="s">
        <v>330</v>
      </c>
      <c r="W57" s="1">
        <v>4</v>
      </c>
      <c r="X57" s="1" t="s">
        <v>331</v>
      </c>
      <c r="Y57" s="1">
        <v>3121</v>
      </c>
      <c r="AA57" s="1" t="s">
        <v>332</v>
      </c>
      <c r="AH57" s="1" t="s">
        <v>278</v>
      </c>
      <c r="AJ57" s="1" t="s">
        <v>279</v>
      </c>
      <c r="AK57" s="1" t="s">
        <v>280</v>
      </c>
    </row>
    <row r="58" spans="1:37">
      <c r="A58" s="1" t="s">
        <v>333</v>
      </c>
      <c r="B58" s="1" t="s">
        <v>334</v>
      </c>
      <c r="E58" s="1" t="s">
        <v>334</v>
      </c>
      <c r="G58" s="1" t="s">
        <v>273</v>
      </c>
      <c r="I58" s="1" t="s">
        <v>274</v>
      </c>
      <c r="R58" s="1" t="s">
        <v>335</v>
      </c>
      <c r="T58" s="1">
        <v>1507</v>
      </c>
      <c r="U58" s="1" t="s">
        <v>336</v>
      </c>
      <c r="W58" s="1">
        <v>9</v>
      </c>
      <c r="X58" s="1" t="s">
        <v>325</v>
      </c>
      <c r="Y58" s="1">
        <v>1045569</v>
      </c>
      <c r="AA58" s="1" t="s">
        <v>337</v>
      </c>
      <c r="AH58" s="1" t="s">
        <v>278</v>
      </c>
      <c r="AJ58" s="1" t="s">
        <v>279</v>
      </c>
      <c r="AK58" s="1" t="s">
        <v>280</v>
      </c>
    </row>
    <row r="59" spans="1:37">
      <c r="A59" s="1" t="s">
        <v>338</v>
      </c>
      <c r="B59" s="1" t="s">
        <v>339</v>
      </c>
      <c r="E59" s="1" t="s">
        <v>339</v>
      </c>
      <c r="G59" s="1" t="s">
        <v>273</v>
      </c>
      <c r="I59" s="1" t="s">
        <v>274</v>
      </c>
      <c r="R59" s="1" t="s">
        <v>340</v>
      </c>
      <c r="T59" s="1">
        <v>38</v>
      </c>
      <c r="U59" s="1" t="s">
        <v>341</v>
      </c>
      <c r="W59" s="1">
        <v>106</v>
      </c>
      <c r="X59" s="1" t="s">
        <v>325</v>
      </c>
      <c r="Y59" s="1">
        <v>1648280</v>
      </c>
      <c r="AA59" s="1" t="s">
        <v>342</v>
      </c>
      <c r="AH59" s="1" t="s">
        <v>278</v>
      </c>
      <c r="AJ59" s="1" t="s">
        <v>279</v>
      </c>
      <c r="AK59" s="1" t="s">
        <v>280</v>
      </c>
    </row>
    <row r="60" spans="1:37">
      <c r="A60" s="1" t="s">
        <v>343</v>
      </c>
      <c r="B60" s="1" t="s">
        <v>344</v>
      </c>
      <c r="E60" s="1" t="s">
        <v>344</v>
      </c>
      <c r="G60" s="1" t="s">
        <v>273</v>
      </c>
      <c r="I60" s="1" t="s">
        <v>274</v>
      </c>
      <c r="R60" s="1" t="s">
        <v>345</v>
      </c>
      <c r="T60" s="1">
        <v>1224</v>
      </c>
      <c r="U60" s="1" t="s">
        <v>346</v>
      </c>
      <c r="W60" s="1">
        <v>8</v>
      </c>
      <c r="X60" s="1" t="s">
        <v>165</v>
      </c>
      <c r="Y60" s="1">
        <v>144643</v>
      </c>
      <c r="AA60" s="1" t="s">
        <v>347</v>
      </c>
      <c r="AH60" s="1" t="s">
        <v>278</v>
      </c>
      <c r="AJ60" s="1" t="s">
        <v>279</v>
      </c>
      <c r="AK60" s="1" t="s">
        <v>280</v>
      </c>
    </row>
    <row r="61" spans="1:37">
      <c r="A61" s="1" t="s">
        <v>348</v>
      </c>
      <c r="B61" s="1" t="s">
        <v>349</v>
      </c>
      <c r="E61" s="1" t="s">
        <v>349</v>
      </c>
      <c r="G61" s="1" t="s">
        <v>273</v>
      </c>
      <c r="I61" s="1" t="s">
        <v>274</v>
      </c>
      <c r="R61" s="1" t="s">
        <v>329</v>
      </c>
      <c r="T61" s="1">
        <v>130</v>
      </c>
      <c r="U61" s="1" t="s">
        <v>350</v>
      </c>
      <c r="W61" s="1">
        <v>124</v>
      </c>
      <c r="X61" s="1" t="s">
        <v>165</v>
      </c>
      <c r="Y61" s="1">
        <v>1329567</v>
      </c>
      <c r="AA61" s="1" t="s">
        <v>351</v>
      </c>
      <c r="AH61" s="1" t="s">
        <v>278</v>
      </c>
      <c r="AJ61" s="1" t="s">
        <v>279</v>
      </c>
      <c r="AK61" s="1" t="s">
        <v>280</v>
      </c>
    </row>
    <row r="62" spans="1:37">
      <c r="A62" s="1" t="s">
        <v>359</v>
      </c>
      <c r="B62" s="1" t="s">
        <v>380</v>
      </c>
      <c r="E62" s="1" t="s">
        <v>380</v>
      </c>
      <c r="G62" s="1" t="s">
        <v>273</v>
      </c>
      <c r="I62" s="1" t="s">
        <v>274</v>
      </c>
      <c r="R62" s="1" t="s">
        <v>249</v>
      </c>
      <c r="T62" s="1">
        <v>126</v>
      </c>
      <c r="U62" s="1" t="s">
        <v>381</v>
      </c>
      <c r="W62" s="1">
        <v>212</v>
      </c>
      <c r="X62" s="1" t="s">
        <v>165</v>
      </c>
      <c r="Y62" s="1">
        <v>469070</v>
      </c>
      <c r="AA62" s="1" t="s">
        <v>382</v>
      </c>
      <c r="AH62" s="1" t="s">
        <v>59</v>
      </c>
      <c r="AJ62" s="1" t="s">
        <v>58</v>
      </c>
      <c r="AK62" s="1" t="s">
        <v>60</v>
      </c>
    </row>
    <row r="63" spans="1:37">
      <c r="A63" s="1" t="s">
        <v>365</v>
      </c>
      <c r="B63" s="1" t="s">
        <v>383</v>
      </c>
      <c r="E63" s="1" t="s">
        <v>384</v>
      </c>
      <c r="G63" s="1" t="s">
        <v>273</v>
      </c>
      <c r="I63" s="1" t="s">
        <v>274</v>
      </c>
      <c r="R63" s="1" t="s">
        <v>385</v>
      </c>
      <c r="T63" s="1">
        <v>509</v>
      </c>
      <c r="U63" s="1" t="s">
        <v>386</v>
      </c>
      <c r="W63" s="1">
        <v>50</v>
      </c>
      <c r="X63" s="1" t="s">
        <v>331</v>
      </c>
      <c r="Y63" s="1">
        <v>1937391</v>
      </c>
      <c r="AA63" s="1" t="s">
        <v>387</v>
      </c>
      <c r="AH63" s="1" t="s">
        <v>59</v>
      </c>
      <c r="AJ63" s="1" t="s">
        <v>58</v>
      </c>
      <c r="AK63" s="1" t="s">
        <v>60</v>
      </c>
    </row>
    <row r="64" spans="1:37">
      <c r="A64" s="1" t="s">
        <v>366</v>
      </c>
      <c r="B64" s="1" t="s">
        <v>388</v>
      </c>
      <c r="E64" s="1" t="s">
        <v>388</v>
      </c>
      <c r="G64" s="1" t="s">
        <v>273</v>
      </c>
      <c r="I64" s="1" t="s">
        <v>274</v>
      </c>
      <c r="R64" s="1" t="s">
        <v>249</v>
      </c>
      <c r="T64" s="1">
        <v>126</v>
      </c>
      <c r="U64" s="1" t="s">
        <v>389</v>
      </c>
      <c r="W64" s="1">
        <v>117</v>
      </c>
      <c r="X64" s="1" t="s">
        <v>165</v>
      </c>
      <c r="Y64" s="1">
        <v>211184</v>
      </c>
      <c r="AA64" s="1" t="s">
        <v>390</v>
      </c>
      <c r="AH64" s="1" t="s">
        <v>59</v>
      </c>
      <c r="AJ64" s="1" t="s">
        <v>58</v>
      </c>
      <c r="AK64" s="1" t="s">
        <v>60</v>
      </c>
    </row>
    <row r="65" spans="1:37">
      <c r="A65" s="1" t="s">
        <v>391</v>
      </c>
      <c r="B65" s="1" t="s">
        <v>352</v>
      </c>
      <c r="E65" s="1" t="s">
        <v>352</v>
      </c>
      <c r="G65" s="1" t="s">
        <v>273</v>
      </c>
      <c r="I65" s="1" t="s">
        <v>274</v>
      </c>
      <c r="R65" s="1" t="s">
        <v>229</v>
      </c>
      <c r="T65" s="1">
        <v>17</v>
      </c>
      <c r="U65" s="1" t="s">
        <v>360</v>
      </c>
      <c r="W65" s="1">
        <v>567</v>
      </c>
      <c r="X65" s="1" t="s">
        <v>331</v>
      </c>
      <c r="Y65" s="1">
        <v>112648</v>
      </c>
      <c r="AA65" s="1" t="s">
        <v>361</v>
      </c>
      <c r="AH65" s="1" t="s">
        <v>59</v>
      </c>
      <c r="AJ65" s="1" t="s">
        <v>58</v>
      </c>
      <c r="AK65" s="1" t="s">
        <v>60</v>
      </c>
    </row>
    <row r="66" spans="1:37">
      <c r="A66" s="1" t="s">
        <v>392</v>
      </c>
      <c r="B66" s="1" t="s">
        <v>362</v>
      </c>
      <c r="E66" s="1" t="s">
        <v>362</v>
      </c>
      <c r="G66" s="1" t="s">
        <v>56</v>
      </c>
      <c r="I66" s="1" t="s">
        <v>57</v>
      </c>
      <c r="R66" s="1" t="s">
        <v>98</v>
      </c>
      <c r="T66" s="1">
        <v>129</v>
      </c>
      <c r="U66" s="1" t="s">
        <v>363</v>
      </c>
      <c r="W66" s="1">
        <v>156</v>
      </c>
      <c r="X66" s="1" t="s">
        <v>88</v>
      </c>
      <c r="Y66" s="1">
        <v>2985090</v>
      </c>
      <c r="AA66" s="1" t="s">
        <v>364</v>
      </c>
      <c r="AH66" s="1" t="s">
        <v>59</v>
      </c>
      <c r="AJ66" s="1" t="s">
        <v>58</v>
      </c>
      <c r="AK66" s="1" t="s">
        <v>60</v>
      </c>
    </row>
    <row r="67" spans="1:37">
      <c r="A67" s="1" t="s">
        <v>393</v>
      </c>
      <c r="B67" s="1" t="s">
        <v>367</v>
      </c>
      <c r="E67" s="1" t="s">
        <v>367</v>
      </c>
      <c r="G67" s="1" t="s">
        <v>273</v>
      </c>
      <c r="I67" s="1" t="s">
        <v>274</v>
      </c>
      <c r="R67" s="1" t="s">
        <v>163</v>
      </c>
      <c r="T67" s="1">
        <v>129</v>
      </c>
      <c r="U67" s="1" t="s">
        <v>368</v>
      </c>
      <c r="W67" s="1">
        <v>103</v>
      </c>
      <c r="X67" s="1" t="s">
        <v>325</v>
      </c>
      <c r="Y67" s="1">
        <v>5502036</v>
      </c>
      <c r="AA67" s="1" t="s">
        <v>410</v>
      </c>
      <c r="AH67" s="1" t="s">
        <v>278</v>
      </c>
      <c r="AJ67" s="1" t="s">
        <v>279</v>
      </c>
      <c r="AK67" s="1" t="s">
        <v>280</v>
      </c>
    </row>
    <row r="68" spans="1:37">
      <c r="A68" s="1" t="s">
        <v>394</v>
      </c>
      <c r="B68" s="1" t="s">
        <v>369</v>
      </c>
      <c r="E68" s="1" t="s">
        <v>369</v>
      </c>
      <c r="G68" s="1" t="s">
        <v>56</v>
      </c>
      <c r="I68" s="1" t="s">
        <v>57</v>
      </c>
      <c r="R68" s="1" t="s">
        <v>370</v>
      </c>
      <c r="T68" s="1">
        <v>130</v>
      </c>
      <c r="U68" s="1" t="s">
        <v>371</v>
      </c>
      <c r="W68" s="1">
        <v>162</v>
      </c>
      <c r="X68" s="1" t="s">
        <v>165</v>
      </c>
      <c r="Y68" s="1">
        <v>6057612</v>
      </c>
      <c r="AA68" s="1" t="s">
        <v>372</v>
      </c>
      <c r="AH68" s="1" t="s">
        <v>59</v>
      </c>
      <c r="AJ68" s="1" t="s">
        <v>58</v>
      </c>
      <c r="AK68" s="1" t="s">
        <v>60</v>
      </c>
    </row>
    <row r="69" spans="1:37">
      <c r="A69" s="1" t="s">
        <v>395</v>
      </c>
      <c r="B69" s="1" t="s">
        <v>373</v>
      </c>
      <c r="E69" s="1" t="s">
        <v>373</v>
      </c>
      <c r="G69" s="1" t="s">
        <v>56</v>
      </c>
      <c r="I69" s="1" t="s">
        <v>57</v>
      </c>
      <c r="R69" s="1" t="s">
        <v>265</v>
      </c>
      <c r="T69" s="1">
        <v>130</v>
      </c>
      <c r="U69" s="1" t="s">
        <v>374</v>
      </c>
      <c r="W69" s="1">
        <v>186</v>
      </c>
      <c r="X69" s="1" t="s">
        <v>165</v>
      </c>
      <c r="Y69" s="1">
        <v>1022716</v>
      </c>
      <c r="AA69" s="1" t="s">
        <v>375</v>
      </c>
      <c r="AH69" s="1" t="s">
        <v>59</v>
      </c>
      <c r="AJ69" s="1" t="s">
        <v>58</v>
      </c>
      <c r="AK69" s="1" t="s">
        <v>60</v>
      </c>
    </row>
    <row r="70" spans="1:37">
      <c r="A70" s="1" t="s">
        <v>396</v>
      </c>
      <c r="B70" s="1" t="s">
        <v>376</v>
      </c>
      <c r="E70" s="1" t="s">
        <v>376</v>
      </c>
      <c r="G70" s="1" t="s">
        <v>56</v>
      </c>
      <c r="I70" s="1" t="s">
        <v>57</v>
      </c>
      <c r="R70" s="1" t="s">
        <v>377</v>
      </c>
      <c r="T70" s="1">
        <v>310</v>
      </c>
      <c r="U70" s="1" t="s">
        <v>378</v>
      </c>
      <c r="W70" s="1">
        <v>102</v>
      </c>
      <c r="X70" s="1" t="s">
        <v>165</v>
      </c>
      <c r="Y70" s="1">
        <v>1328413</v>
      </c>
      <c r="AA70" s="1" t="s">
        <v>379</v>
      </c>
      <c r="AH70" s="1" t="s">
        <v>59</v>
      </c>
      <c r="AJ70" s="1" t="s">
        <v>58</v>
      </c>
      <c r="AK70" s="1" t="s">
        <v>60</v>
      </c>
    </row>
    <row r="71" spans="1:37">
      <c r="A71" s="1" t="s">
        <v>397</v>
      </c>
      <c r="B71" s="1" t="s">
        <v>398</v>
      </c>
      <c r="E71" s="1" t="s">
        <v>398</v>
      </c>
      <c r="G71" s="1" t="s">
        <v>56</v>
      </c>
      <c r="I71" s="1" t="s">
        <v>57</v>
      </c>
      <c r="R71" s="1" t="s">
        <v>173</v>
      </c>
      <c r="T71" s="1">
        <v>1</v>
      </c>
      <c r="U71" s="1" t="s">
        <v>399</v>
      </c>
      <c r="W71" s="1">
        <v>240</v>
      </c>
      <c r="X71" s="1" t="s">
        <v>325</v>
      </c>
      <c r="Y71" s="1">
        <v>1964692</v>
      </c>
      <c r="AA71" s="1" t="s">
        <v>400</v>
      </c>
      <c r="AH71" s="1" t="s">
        <v>59</v>
      </c>
      <c r="AJ71" s="1" t="s">
        <v>58</v>
      </c>
      <c r="AK71" s="1" t="s">
        <v>60</v>
      </c>
    </row>
    <row r="72" spans="1:37">
      <c r="A72" s="1" t="s">
        <v>401</v>
      </c>
      <c r="B72" s="1" t="s">
        <v>402</v>
      </c>
      <c r="E72" s="1" t="s">
        <v>402</v>
      </c>
      <c r="G72" s="1" t="s">
        <v>56</v>
      </c>
      <c r="I72" s="1" t="s">
        <v>57</v>
      </c>
      <c r="R72" s="1" t="s">
        <v>163</v>
      </c>
      <c r="T72" s="1">
        <v>129</v>
      </c>
      <c r="U72" s="1" t="s">
        <v>403</v>
      </c>
      <c r="W72" s="1">
        <v>220</v>
      </c>
      <c r="X72" s="1" t="s">
        <v>325</v>
      </c>
      <c r="Y72" s="1">
        <v>468619</v>
      </c>
      <c r="AA72" s="1" t="s">
        <v>404</v>
      </c>
      <c r="AH72" s="1" t="s">
        <v>59</v>
      </c>
      <c r="AJ72" s="1" t="s">
        <v>58</v>
      </c>
      <c r="AK72" s="1" t="s">
        <v>60</v>
      </c>
    </row>
    <row r="73" spans="1:37">
      <c r="A73" s="1" t="s">
        <v>411</v>
      </c>
      <c r="B73" s="1" t="s">
        <v>412</v>
      </c>
      <c r="E73" s="1" t="s">
        <v>412</v>
      </c>
      <c r="G73" s="1" t="s">
        <v>56</v>
      </c>
      <c r="I73" s="1" t="s">
        <v>57</v>
      </c>
      <c r="R73" s="1" t="s">
        <v>246</v>
      </c>
      <c r="T73" s="1">
        <v>517</v>
      </c>
      <c r="U73" s="1" t="s">
        <v>413</v>
      </c>
      <c r="W73" s="1">
        <v>33</v>
      </c>
      <c r="X73" s="1" t="s">
        <v>325</v>
      </c>
      <c r="Y73" s="1">
        <v>3243521</v>
      </c>
      <c r="AA73" s="1" t="s">
        <v>414</v>
      </c>
    </row>
    <row r="74" spans="1:37">
      <c r="A74" s="1" t="s">
        <v>415</v>
      </c>
      <c r="B74" s="1" t="s">
        <v>416</v>
      </c>
      <c r="E74" s="1" t="s">
        <v>416</v>
      </c>
      <c r="G74" s="1" t="s">
        <v>56</v>
      </c>
      <c r="I74" s="1" t="s">
        <v>57</v>
      </c>
      <c r="R74" s="1" t="s">
        <v>417</v>
      </c>
      <c r="T74" s="1">
        <v>137</v>
      </c>
      <c r="U74" s="1" t="s">
        <v>418</v>
      </c>
      <c r="W74" s="1">
        <v>2</v>
      </c>
      <c r="X74" s="1" t="s">
        <v>325</v>
      </c>
      <c r="Y74" s="1">
        <v>5028482</v>
      </c>
      <c r="AA74" s="1" t="s">
        <v>419</v>
      </c>
    </row>
    <row r="75" spans="1:37">
      <c r="A75" s="1" t="s">
        <v>420</v>
      </c>
      <c r="B75" s="1" t="s">
        <v>421</v>
      </c>
      <c r="E75" s="1" t="s">
        <v>421</v>
      </c>
      <c r="G75" s="1" t="s">
        <v>56</v>
      </c>
      <c r="I75" s="1" t="s">
        <v>57</v>
      </c>
      <c r="R75" s="1" t="s">
        <v>129</v>
      </c>
      <c r="T75" s="1">
        <v>128</v>
      </c>
      <c r="U75" s="1" t="s">
        <v>422</v>
      </c>
      <c r="W75" s="1">
        <v>101</v>
      </c>
      <c r="X75" s="1" t="s">
        <v>88</v>
      </c>
      <c r="Y75" s="1">
        <v>1300736</v>
      </c>
      <c r="AA75" s="1" t="s">
        <v>423</v>
      </c>
      <c r="AH75" s="1" t="s">
        <v>59</v>
      </c>
      <c r="AJ75" s="1" t="s">
        <v>58</v>
      </c>
      <c r="AK75" s="1" t="s">
        <v>60</v>
      </c>
    </row>
    <row r="76" spans="1:37">
      <c r="A76" s="1" t="s">
        <v>424</v>
      </c>
      <c r="B76" s="1" t="s">
        <v>425</v>
      </c>
      <c r="E76" s="1" t="s">
        <v>425</v>
      </c>
      <c r="G76" s="1" t="s">
        <v>56</v>
      </c>
      <c r="I76" s="1" t="s">
        <v>57</v>
      </c>
      <c r="R76" s="1" t="s">
        <v>109</v>
      </c>
      <c r="T76" s="1">
        <v>5</v>
      </c>
      <c r="U76" s="1" t="s">
        <v>426</v>
      </c>
      <c r="W76" s="1">
        <v>135</v>
      </c>
      <c r="X76" s="1" t="s">
        <v>165</v>
      </c>
      <c r="Y76" s="1">
        <v>3733564</v>
      </c>
      <c r="AA76" s="1" t="s">
        <v>427</v>
      </c>
      <c r="AH76" s="1" t="s">
        <v>59</v>
      </c>
      <c r="AJ76" s="1" t="s">
        <v>58</v>
      </c>
      <c r="AK76" s="1" t="s">
        <v>60</v>
      </c>
    </row>
    <row r="77" spans="1:37">
      <c r="A77" s="1" t="s">
        <v>428</v>
      </c>
      <c r="B77" s="1" t="s">
        <v>429</v>
      </c>
      <c r="E77" s="1" t="s">
        <v>429</v>
      </c>
      <c r="G77" s="1" t="s">
        <v>56</v>
      </c>
      <c r="I77" s="1" t="s">
        <v>57</v>
      </c>
      <c r="R77" s="1" t="s">
        <v>185</v>
      </c>
      <c r="T77" s="1">
        <v>5</v>
      </c>
      <c r="U77" s="1" t="s">
        <v>430</v>
      </c>
      <c r="W77" s="1">
        <v>2</v>
      </c>
      <c r="X77" s="1" t="s">
        <v>165</v>
      </c>
      <c r="Y77" s="1">
        <v>2386512</v>
      </c>
      <c r="AA77" s="1" t="s">
        <v>431</v>
      </c>
    </row>
    <row r="78" spans="1:37">
      <c r="A78" s="1" t="s">
        <v>433</v>
      </c>
      <c r="B78" s="1" t="s">
        <v>432</v>
      </c>
      <c r="E78" s="1" t="s">
        <v>432</v>
      </c>
      <c r="G78" s="1" t="s">
        <v>56</v>
      </c>
      <c r="I78" s="1" t="s">
        <v>57</v>
      </c>
      <c r="R78" s="1" t="s">
        <v>434</v>
      </c>
      <c r="T78" s="1">
        <v>2092</v>
      </c>
      <c r="U78" s="1" t="s">
        <v>435</v>
      </c>
      <c r="W78" s="1">
        <v>15</v>
      </c>
      <c r="X78" s="1" t="s">
        <v>165</v>
      </c>
      <c r="Y78" s="1">
        <v>1114131</v>
      </c>
      <c r="AA78" s="1" t="s">
        <v>441</v>
      </c>
    </row>
    <row r="79" spans="1:37">
      <c r="A79" s="1" t="s">
        <v>438</v>
      </c>
      <c r="B79" s="1" t="s">
        <v>437</v>
      </c>
      <c r="E79" s="1" t="s">
        <v>437</v>
      </c>
      <c r="G79" s="1" t="s">
        <v>56</v>
      </c>
      <c r="I79" s="1" t="s">
        <v>57</v>
      </c>
      <c r="R79" s="1" t="s">
        <v>229</v>
      </c>
      <c r="T79" s="1">
        <v>17</v>
      </c>
      <c r="U79" s="1" t="s">
        <v>439</v>
      </c>
      <c r="W79" s="1">
        <v>335</v>
      </c>
      <c r="X79" s="1" t="s">
        <v>331</v>
      </c>
      <c r="Y79" s="1">
        <v>100222</v>
      </c>
      <c r="AA79" s="1" t="s">
        <v>440</v>
      </c>
    </row>
    <row r="80" spans="1:37">
      <c r="A80" s="1" t="s">
        <v>444</v>
      </c>
      <c r="B80" s="1" t="s">
        <v>445</v>
      </c>
      <c r="E80" s="1" t="s">
        <v>445</v>
      </c>
      <c r="G80" s="1" t="s">
        <v>56</v>
      </c>
      <c r="I80" s="1" t="s">
        <v>57</v>
      </c>
      <c r="R80" s="1" t="s">
        <v>86</v>
      </c>
      <c r="T80" s="1">
        <v>9</v>
      </c>
      <c r="U80" s="1" t="s">
        <v>442</v>
      </c>
      <c r="W80" s="1">
        <v>925</v>
      </c>
      <c r="X80" s="1" t="s">
        <v>165</v>
      </c>
      <c r="Y80" s="1">
        <v>6720552</v>
      </c>
      <c r="AA80" s="1" t="s">
        <v>443</v>
      </c>
      <c r="AH80" s="1" t="s">
        <v>59</v>
      </c>
      <c r="AJ80" s="1" t="s">
        <v>58</v>
      </c>
      <c r="AK80" s="1" t="s">
        <v>60</v>
      </c>
    </row>
    <row r="81" spans="1:27">
      <c r="A81" s="1" t="s">
        <v>447</v>
      </c>
      <c r="B81" s="1" t="s">
        <v>448</v>
      </c>
      <c r="E81" s="1" t="s">
        <v>449</v>
      </c>
      <c r="G81" s="1" t="s">
        <v>56</v>
      </c>
      <c r="I81" s="1" t="s">
        <v>57</v>
      </c>
      <c r="R81" s="1" t="s">
        <v>86</v>
      </c>
      <c r="T81" s="1">
        <v>9</v>
      </c>
      <c r="U81" s="1" t="s">
        <v>450</v>
      </c>
      <c r="W81" s="1">
        <v>884</v>
      </c>
      <c r="X81" s="1" t="s">
        <v>88</v>
      </c>
      <c r="Y81" s="1">
        <v>2033203</v>
      </c>
      <c r="AA81" s="1" t="s">
        <v>451</v>
      </c>
    </row>
    <row r="82" spans="1:27">
      <c r="A82" s="1" t="s">
        <v>452</v>
      </c>
      <c r="B82" s="1" t="s">
        <v>453</v>
      </c>
      <c r="E82" s="1" t="s">
        <v>453</v>
      </c>
      <c r="G82" s="1" t="s">
        <v>56</v>
      </c>
      <c r="I82" s="1" t="s">
        <v>57</v>
      </c>
      <c r="R82" s="1" t="s">
        <v>185</v>
      </c>
      <c r="T82" s="1">
        <v>5</v>
      </c>
      <c r="U82" s="1" t="s">
        <v>454</v>
      </c>
      <c r="W82" s="1">
        <v>869</v>
      </c>
      <c r="X82" s="1" t="s">
        <v>331</v>
      </c>
      <c r="Y82" s="1">
        <v>1659610</v>
      </c>
      <c r="AA82" s="1" t="s">
        <v>455</v>
      </c>
    </row>
    <row r="83" spans="1:27">
      <c r="A83" s="1" t="s">
        <v>456</v>
      </c>
      <c r="B83" s="1" t="s">
        <v>457</v>
      </c>
      <c r="E83" s="1" t="s">
        <v>457</v>
      </c>
      <c r="G83" s="1" t="s">
        <v>56</v>
      </c>
      <c r="I83" s="1" t="s">
        <v>57</v>
      </c>
      <c r="R83" s="1" t="s">
        <v>185</v>
      </c>
      <c r="T83" s="1">
        <v>5</v>
      </c>
      <c r="U83" s="1" t="s">
        <v>458</v>
      </c>
      <c r="W83" s="1">
        <v>331</v>
      </c>
      <c r="X83" s="1" t="s">
        <v>165</v>
      </c>
      <c r="Y83" s="1">
        <v>5986815</v>
      </c>
      <c r="AA83" s="1" t="s">
        <v>459</v>
      </c>
    </row>
    <row r="84" spans="1:27">
      <c r="A84" s="1" t="s">
        <v>460</v>
      </c>
      <c r="B84" s="1" t="s">
        <v>461</v>
      </c>
      <c r="E84" s="1" t="s">
        <v>461</v>
      </c>
      <c r="G84" s="1" t="s">
        <v>56</v>
      </c>
      <c r="I84" s="1" t="s">
        <v>57</v>
      </c>
      <c r="R84" s="1" t="s">
        <v>169</v>
      </c>
      <c r="T84" s="1">
        <v>1</v>
      </c>
      <c r="U84" s="1" t="s">
        <v>462</v>
      </c>
      <c r="W84" s="1">
        <v>834</v>
      </c>
      <c r="X84" s="1" t="s">
        <v>165</v>
      </c>
      <c r="Y84" s="1">
        <v>7273067</v>
      </c>
      <c r="AA84" s="1" t="s">
        <v>463</v>
      </c>
    </row>
    <row r="85" spans="1:27">
      <c r="A85" s="1" t="s">
        <v>464</v>
      </c>
      <c r="B85" s="1" t="s">
        <v>465</v>
      </c>
      <c r="E85" s="1" t="s">
        <v>465</v>
      </c>
      <c r="G85" s="1" t="s">
        <v>56</v>
      </c>
      <c r="I85" s="1" t="s">
        <v>57</v>
      </c>
      <c r="R85" s="1" t="s">
        <v>466</v>
      </c>
      <c r="T85" s="1">
        <v>130</v>
      </c>
      <c r="U85" s="1" t="s">
        <v>467</v>
      </c>
      <c r="W85" s="1">
        <v>34</v>
      </c>
      <c r="X85" s="1" t="s">
        <v>165</v>
      </c>
      <c r="Y85" s="1">
        <v>848200</v>
      </c>
      <c r="AA85" s="1" t="s">
        <v>468</v>
      </c>
    </row>
    <row r="86" spans="1:27">
      <c r="A86" s="1" t="s">
        <v>528</v>
      </c>
      <c r="B86" s="1" t="s">
        <v>527</v>
      </c>
    </row>
    <row r="87" spans="1:27">
      <c r="A87" s="1" t="s">
        <v>548</v>
      </c>
      <c r="B87" s="1" t="s">
        <v>549</v>
      </c>
    </row>
  </sheetData>
  <autoFilter ref="B1:AL85" xr:uid="{79E15124-501F-4365-942B-3921A8E31BF0}"/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4AE4-50A8-410A-9EE8-60FF8D7F750C}">
  <sheetPr codeName="Sheet2"/>
  <dimension ref="A1:D3"/>
  <sheetViews>
    <sheetView workbookViewId="0">
      <selection activeCell="I28" sqref="I28"/>
    </sheetView>
  </sheetViews>
  <sheetFormatPr defaultRowHeight="12.75"/>
  <cols>
    <col min="1" max="16384" width="9.140625" style="35"/>
  </cols>
  <sheetData>
    <row r="1" spans="1:4">
      <c r="A1" s="37" t="s">
        <v>571</v>
      </c>
    </row>
    <row r="2" spans="1:4">
      <c r="A2" s="37" t="s">
        <v>570</v>
      </c>
      <c r="B2" s="37" t="s">
        <v>569</v>
      </c>
      <c r="C2" s="39" t="s">
        <v>573</v>
      </c>
      <c r="D2" s="36" t="s">
        <v>567</v>
      </c>
    </row>
    <row r="3" spans="1:4">
      <c r="A3" s="37" t="s">
        <v>568</v>
      </c>
      <c r="B3" s="38" t="s">
        <v>572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11月平出(HH)</vt:lpstr>
      <vt:lpstr>リスト</vt:lpstr>
      <vt:lpstr>keyword</vt:lpstr>
      <vt:lpstr>取引先</vt:lpstr>
      <vt:lpstr>使い方</vt:lpstr>
      <vt:lpstr>'11月平出(HH)'!Print_Area</vt:lpstr>
      <vt:lpstr>'11月平出(HH)'!Print_Titles</vt:lpstr>
      <vt:lpstr>取引先</vt:lpstr>
      <vt:lpstr>取引先コード</vt:lpstr>
      <vt:lpstr>店舗名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Syun Toriyama</dc:creator>
  <cp:lastModifiedBy>グローバルキッズメソッド 108</cp:lastModifiedBy>
  <cp:lastPrinted>2024-03-19T03:58:00Z</cp:lastPrinted>
  <dcterms:created xsi:type="dcterms:W3CDTF">2023-09-21T01:22:55Z</dcterms:created>
  <dcterms:modified xsi:type="dcterms:W3CDTF">2026-06-03T07:12:13Z</dcterms:modified>
</cp:coreProperties>
</file>